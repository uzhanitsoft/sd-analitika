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20b56c01124bfe/Desktop/SD AI/"/>
    </mc:Choice>
  </mc:AlternateContent>
  <xr:revisionPtr revIDLastSave="0" documentId="8_{24E3D09E-7F5A-4556-AB26-D01C3262BC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bDataRocks Reporting Tool" sheetId="1" r:id="rId1"/>
  </sheets>
  <definedNames>
    <definedName name="_xlnm._FilterDatabase" localSheetId="0" hidden="1">'WebDataRocks Reporting Tool'!$A$1:$W$1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D6" i="1" s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D31" i="1" s="1"/>
  <c r="G32" i="1"/>
  <c r="D32" i="1" s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D53" i="1" s="1"/>
  <c r="G54" i="1"/>
  <c r="D54" i="1" s="1"/>
  <c r="G55" i="1"/>
  <c r="D55" i="1" s="1"/>
  <c r="G56" i="1"/>
  <c r="D56" i="1" s="1"/>
  <c r="G57" i="1"/>
  <c r="G58" i="1"/>
  <c r="G59" i="1"/>
  <c r="G60" i="1"/>
  <c r="G61" i="1"/>
  <c r="G62" i="1"/>
  <c r="G63" i="1"/>
  <c r="G64" i="1"/>
  <c r="G65" i="1"/>
  <c r="G66" i="1"/>
  <c r="G67" i="1"/>
  <c r="D67" i="1" s="1"/>
  <c r="G68" i="1"/>
  <c r="D68" i="1" s="1"/>
  <c r="G69" i="1"/>
  <c r="G70" i="1"/>
  <c r="G71" i="1"/>
  <c r="G72" i="1"/>
  <c r="G73" i="1"/>
  <c r="G74" i="1"/>
  <c r="G75" i="1"/>
  <c r="G76" i="1"/>
  <c r="G77" i="1"/>
  <c r="D77" i="1" s="1"/>
  <c r="G78" i="1"/>
  <c r="G79" i="1"/>
  <c r="D79" i="1" s="1"/>
  <c r="G80" i="1"/>
  <c r="G81" i="1"/>
  <c r="G82" i="1"/>
  <c r="G83" i="1"/>
  <c r="G84" i="1"/>
  <c r="G85" i="1"/>
  <c r="G86" i="1"/>
  <c r="G87" i="1"/>
  <c r="G88" i="1"/>
  <c r="G89" i="1"/>
  <c r="D89" i="1" s="1"/>
  <c r="G90" i="1"/>
  <c r="G91" i="1"/>
  <c r="G92" i="1"/>
  <c r="D92" i="1" s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D114" i="1" s="1"/>
  <c r="G115" i="1"/>
  <c r="D115" i="1" s="1"/>
  <c r="G116" i="1"/>
  <c r="D116" i="1" s="1"/>
  <c r="G117" i="1"/>
  <c r="G118" i="1"/>
  <c r="G119" i="1"/>
  <c r="G120" i="1"/>
  <c r="G121" i="1"/>
  <c r="G122" i="1"/>
  <c r="G123" i="1"/>
  <c r="G124" i="1"/>
  <c r="G125" i="1"/>
  <c r="G126" i="1"/>
  <c r="G127" i="1"/>
  <c r="G128" i="1"/>
  <c r="D128" i="1" s="1"/>
  <c r="G129" i="1"/>
  <c r="G130" i="1"/>
  <c r="G131" i="1"/>
  <c r="G132" i="1"/>
  <c r="G133" i="1"/>
  <c r="G134" i="1"/>
  <c r="G135" i="1"/>
  <c r="G136" i="1"/>
  <c r="G137" i="1"/>
  <c r="D137" i="1" s="1"/>
  <c r="G138" i="1"/>
  <c r="D138" i="1" s="1"/>
  <c r="G139" i="1"/>
  <c r="D139" i="1" s="1"/>
  <c r="G140" i="1"/>
  <c r="D140" i="1" s="1"/>
  <c r="G141" i="1"/>
  <c r="G142" i="1"/>
  <c r="G143" i="1"/>
  <c r="G144" i="1"/>
  <c r="G145" i="1"/>
  <c r="G146" i="1"/>
  <c r="G147" i="1"/>
  <c r="G148" i="1"/>
  <c r="G149" i="1"/>
  <c r="G150" i="1"/>
  <c r="D150" i="1" s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D175" i="1" s="1"/>
  <c r="G176" i="1"/>
  <c r="D176" i="1" s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D197" i="1" s="1"/>
  <c r="G198" i="1"/>
  <c r="D198" i="1" s="1"/>
  <c r="G199" i="1"/>
  <c r="D199" i="1" s="1"/>
  <c r="G200" i="1"/>
  <c r="D200" i="1" s="1"/>
  <c r="G201" i="1"/>
  <c r="G202" i="1"/>
  <c r="G203" i="1"/>
  <c r="G204" i="1"/>
  <c r="G205" i="1"/>
  <c r="G206" i="1"/>
  <c r="G207" i="1"/>
  <c r="G208" i="1"/>
  <c r="G209" i="1"/>
  <c r="G210" i="1"/>
  <c r="G211" i="1"/>
  <c r="D211" i="1" s="1"/>
  <c r="G212" i="1"/>
  <c r="D212" i="1" s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D233" i="1" s="1"/>
  <c r="G234" i="1"/>
  <c r="G235" i="1"/>
  <c r="G236" i="1"/>
  <c r="D236" i="1" s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D258" i="1" s="1"/>
  <c r="G259" i="1"/>
  <c r="D259" i="1" s="1"/>
  <c r="G260" i="1"/>
  <c r="D260" i="1" s="1"/>
  <c r="G261" i="1"/>
  <c r="G262" i="1"/>
  <c r="G263" i="1"/>
  <c r="G264" i="1"/>
  <c r="G265" i="1"/>
  <c r="G266" i="1"/>
  <c r="G267" i="1"/>
  <c r="G268" i="1"/>
  <c r="G269" i="1"/>
  <c r="G270" i="1"/>
  <c r="G271" i="1"/>
  <c r="G272" i="1"/>
  <c r="D272" i="1" s="1"/>
  <c r="G273" i="1"/>
  <c r="G274" i="1"/>
  <c r="G275" i="1"/>
  <c r="G276" i="1"/>
  <c r="G277" i="1"/>
  <c r="G278" i="1"/>
  <c r="G279" i="1"/>
  <c r="G280" i="1"/>
  <c r="G281" i="1"/>
  <c r="D281" i="1" s="1"/>
  <c r="G282" i="1"/>
  <c r="D282" i="1" s="1"/>
  <c r="G283" i="1"/>
  <c r="D283" i="1" s="1"/>
  <c r="G284" i="1"/>
  <c r="D284" i="1" s="1"/>
  <c r="G285" i="1"/>
  <c r="G286" i="1"/>
  <c r="G287" i="1"/>
  <c r="G288" i="1"/>
  <c r="G289" i="1"/>
  <c r="G290" i="1"/>
  <c r="G291" i="1"/>
  <c r="G292" i="1"/>
  <c r="G293" i="1"/>
  <c r="G294" i="1"/>
  <c r="D294" i="1" s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D319" i="1" s="1"/>
  <c r="G320" i="1"/>
  <c r="D320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E3" i="1"/>
  <c r="E4" i="1"/>
  <c r="E5" i="1"/>
  <c r="E6" i="1"/>
  <c r="E7" i="1"/>
  <c r="E8" i="1"/>
  <c r="E9" i="1"/>
  <c r="D9" i="1" s="1"/>
  <c r="E10" i="1"/>
  <c r="D10" i="1" s="1"/>
  <c r="E11" i="1"/>
  <c r="D11" i="1" s="1"/>
  <c r="E12" i="1"/>
  <c r="E13" i="1"/>
  <c r="D13" i="1" s="1"/>
  <c r="E14" i="1"/>
  <c r="D14" i="1" s="1"/>
  <c r="E15" i="1"/>
  <c r="E16" i="1"/>
  <c r="E17" i="1"/>
  <c r="E18" i="1"/>
  <c r="E19" i="1"/>
  <c r="E20" i="1"/>
  <c r="E21" i="1"/>
  <c r="D21" i="1" s="1"/>
  <c r="E22" i="1"/>
  <c r="D22" i="1" s="1"/>
  <c r="E23" i="1"/>
  <c r="D23" i="1" s="1"/>
  <c r="E24" i="1"/>
  <c r="E25" i="1"/>
  <c r="D25" i="1" s="1"/>
  <c r="E26" i="1"/>
  <c r="D26" i="1" s="1"/>
  <c r="E27" i="1"/>
  <c r="E28" i="1"/>
  <c r="E29" i="1"/>
  <c r="E30" i="1"/>
  <c r="E31" i="1"/>
  <c r="E32" i="1"/>
  <c r="E33" i="1"/>
  <c r="D33" i="1" s="1"/>
  <c r="E34" i="1"/>
  <c r="D34" i="1" s="1"/>
  <c r="E35" i="1"/>
  <c r="E36" i="1"/>
  <c r="E37" i="1"/>
  <c r="D37" i="1" s="1"/>
  <c r="E38" i="1"/>
  <c r="D38" i="1" s="1"/>
  <c r="E39" i="1"/>
  <c r="E40" i="1"/>
  <c r="E41" i="1"/>
  <c r="E42" i="1"/>
  <c r="E43" i="1"/>
  <c r="E44" i="1"/>
  <c r="E45" i="1"/>
  <c r="D45" i="1" s="1"/>
  <c r="E46" i="1"/>
  <c r="D46" i="1" s="1"/>
  <c r="E47" i="1"/>
  <c r="E48" i="1"/>
  <c r="E49" i="1"/>
  <c r="D49" i="1" s="1"/>
  <c r="E50" i="1"/>
  <c r="D50" i="1" s="1"/>
  <c r="E51" i="1"/>
  <c r="E52" i="1"/>
  <c r="E53" i="1"/>
  <c r="E54" i="1"/>
  <c r="E55" i="1"/>
  <c r="E56" i="1"/>
  <c r="E57" i="1"/>
  <c r="D57" i="1" s="1"/>
  <c r="E58" i="1"/>
  <c r="D58" i="1" s="1"/>
  <c r="E59" i="1"/>
  <c r="D59" i="1" s="1"/>
  <c r="E60" i="1"/>
  <c r="E61" i="1"/>
  <c r="D61" i="1" s="1"/>
  <c r="E62" i="1"/>
  <c r="D62" i="1" s="1"/>
  <c r="E63" i="1"/>
  <c r="E64" i="1"/>
  <c r="E65" i="1"/>
  <c r="E66" i="1"/>
  <c r="E67" i="1"/>
  <c r="E68" i="1"/>
  <c r="E69" i="1"/>
  <c r="D69" i="1" s="1"/>
  <c r="E70" i="1"/>
  <c r="D70" i="1" s="1"/>
  <c r="E71" i="1"/>
  <c r="D71" i="1" s="1"/>
  <c r="E72" i="1"/>
  <c r="E73" i="1"/>
  <c r="D73" i="1" s="1"/>
  <c r="E74" i="1"/>
  <c r="D74" i="1" s="1"/>
  <c r="E75" i="1"/>
  <c r="E76" i="1"/>
  <c r="E77" i="1"/>
  <c r="E78" i="1"/>
  <c r="E79" i="1"/>
  <c r="E80" i="1"/>
  <c r="E81" i="1"/>
  <c r="D81" i="1" s="1"/>
  <c r="E82" i="1"/>
  <c r="D82" i="1" s="1"/>
  <c r="E83" i="1"/>
  <c r="D83" i="1" s="1"/>
  <c r="E84" i="1"/>
  <c r="E85" i="1"/>
  <c r="D85" i="1" s="1"/>
  <c r="E86" i="1"/>
  <c r="D86" i="1" s="1"/>
  <c r="E87" i="1"/>
  <c r="E88" i="1"/>
  <c r="E89" i="1"/>
  <c r="E90" i="1"/>
  <c r="E91" i="1"/>
  <c r="E92" i="1"/>
  <c r="E93" i="1"/>
  <c r="D93" i="1" s="1"/>
  <c r="E94" i="1"/>
  <c r="D94" i="1" s="1"/>
  <c r="E95" i="1"/>
  <c r="D95" i="1" s="1"/>
  <c r="E96" i="1"/>
  <c r="E97" i="1"/>
  <c r="D97" i="1" s="1"/>
  <c r="E98" i="1"/>
  <c r="D98" i="1" s="1"/>
  <c r="E99" i="1"/>
  <c r="E100" i="1"/>
  <c r="E101" i="1"/>
  <c r="E102" i="1"/>
  <c r="E103" i="1"/>
  <c r="E104" i="1"/>
  <c r="E105" i="1"/>
  <c r="D105" i="1" s="1"/>
  <c r="E106" i="1"/>
  <c r="D106" i="1" s="1"/>
  <c r="E107" i="1"/>
  <c r="E108" i="1"/>
  <c r="E109" i="1"/>
  <c r="D109" i="1" s="1"/>
  <c r="E110" i="1"/>
  <c r="D110" i="1" s="1"/>
  <c r="E111" i="1"/>
  <c r="E112" i="1"/>
  <c r="E113" i="1"/>
  <c r="E114" i="1"/>
  <c r="E115" i="1"/>
  <c r="E116" i="1"/>
  <c r="E117" i="1"/>
  <c r="D117" i="1" s="1"/>
  <c r="E118" i="1"/>
  <c r="D118" i="1" s="1"/>
  <c r="E119" i="1"/>
  <c r="D119" i="1" s="1"/>
  <c r="E120" i="1"/>
  <c r="E121" i="1"/>
  <c r="D121" i="1" s="1"/>
  <c r="E122" i="1"/>
  <c r="D122" i="1" s="1"/>
  <c r="E123" i="1"/>
  <c r="E124" i="1"/>
  <c r="E125" i="1"/>
  <c r="E126" i="1"/>
  <c r="E127" i="1"/>
  <c r="E128" i="1"/>
  <c r="E129" i="1"/>
  <c r="D129" i="1" s="1"/>
  <c r="E130" i="1"/>
  <c r="D130" i="1" s="1"/>
  <c r="E131" i="1"/>
  <c r="D131" i="1" s="1"/>
  <c r="E132" i="1"/>
  <c r="E133" i="1"/>
  <c r="D133" i="1" s="1"/>
  <c r="E134" i="1"/>
  <c r="D134" i="1" s="1"/>
  <c r="E135" i="1"/>
  <c r="E136" i="1"/>
  <c r="E137" i="1"/>
  <c r="E138" i="1"/>
  <c r="E139" i="1"/>
  <c r="E140" i="1"/>
  <c r="E141" i="1"/>
  <c r="D141" i="1" s="1"/>
  <c r="E142" i="1"/>
  <c r="D142" i="1" s="1"/>
  <c r="E143" i="1"/>
  <c r="D143" i="1" s="1"/>
  <c r="E144" i="1"/>
  <c r="E145" i="1"/>
  <c r="D145" i="1" s="1"/>
  <c r="E146" i="1"/>
  <c r="D146" i="1" s="1"/>
  <c r="E147" i="1"/>
  <c r="E148" i="1"/>
  <c r="E149" i="1"/>
  <c r="E150" i="1"/>
  <c r="E151" i="1"/>
  <c r="E152" i="1"/>
  <c r="E153" i="1"/>
  <c r="E154" i="1"/>
  <c r="D154" i="1" s="1"/>
  <c r="E155" i="1"/>
  <c r="D155" i="1" s="1"/>
  <c r="E156" i="1"/>
  <c r="E157" i="1"/>
  <c r="D157" i="1" s="1"/>
  <c r="E158" i="1"/>
  <c r="D158" i="1" s="1"/>
  <c r="E159" i="1"/>
  <c r="E160" i="1"/>
  <c r="E161" i="1"/>
  <c r="E162" i="1"/>
  <c r="E163" i="1"/>
  <c r="E164" i="1"/>
  <c r="E165" i="1"/>
  <c r="E166" i="1"/>
  <c r="D166" i="1" s="1"/>
  <c r="E167" i="1"/>
  <c r="D167" i="1" s="1"/>
  <c r="E168" i="1"/>
  <c r="E169" i="1"/>
  <c r="D169" i="1" s="1"/>
  <c r="E170" i="1"/>
  <c r="D170" i="1" s="1"/>
  <c r="E171" i="1"/>
  <c r="E172" i="1"/>
  <c r="E173" i="1"/>
  <c r="E174" i="1"/>
  <c r="E175" i="1"/>
  <c r="E176" i="1"/>
  <c r="E177" i="1"/>
  <c r="D177" i="1" s="1"/>
  <c r="E178" i="1"/>
  <c r="D178" i="1" s="1"/>
  <c r="E179" i="1"/>
  <c r="D179" i="1" s="1"/>
  <c r="E180" i="1"/>
  <c r="E181" i="1"/>
  <c r="D181" i="1" s="1"/>
  <c r="E182" i="1"/>
  <c r="D182" i="1" s="1"/>
  <c r="E183" i="1"/>
  <c r="E184" i="1"/>
  <c r="E185" i="1"/>
  <c r="E186" i="1"/>
  <c r="E187" i="1"/>
  <c r="E188" i="1"/>
  <c r="E189" i="1"/>
  <c r="D189" i="1" s="1"/>
  <c r="E190" i="1"/>
  <c r="E191" i="1"/>
  <c r="D191" i="1" s="1"/>
  <c r="E192" i="1"/>
  <c r="E193" i="1"/>
  <c r="D193" i="1" s="1"/>
  <c r="E194" i="1"/>
  <c r="D194" i="1" s="1"/>
  <c r="E195" i="1"/>
  <c r="E196" i="1"/>
  <c r="E197" i="1"/>
  <c r="E198" i="1"/>
  <c r="E199" i="1"/>
  <c r="E200" i="1"/>
  <c r="E201" i="1"/>
  <c r="D201" i="1" s="1"/>
  <c r="E202" i="1"/>
  <c r="E203" i="1"/>
  <c r="D203" i="1" s="1"/>
  <c r="E204" i="1"/>
  <c r="E205" i="1"/>
  <c r="D205" i="1" s="1"/>
  <c r="E206" i="1"/>
  <c r="D206" i="1" s="1"/>
  <c r="E207" i="1"/>
  <c r="E208" i="1"/>
  <c r="E209" i="1"/>
  <c r="E210" i="1"/>
  <c r="E211" i="1"/>
  <c r="E212" i="1"/>
  <c r="E213" i="1"/>
  <c r="D213" i="1" s="1"/>
  <c r="E214" i="1"/>
  <c r="D214" i="1" s="1"/>
  <c r="E215" i="1"/>
  <c r="D215" i="1" s="1"/>
  <c r="E216" i="1"/>
  <c r="E217" i="1"/>
  <c r="D217" i="1" s="1"/>
  <c r="E218" i="1"/>
  <c r="D218" i="1" s="1"/>
  <c r="E219" i="1"/>
  <c r="E220" i="1"/>
  <c r="E221" i="1"/>
  <c r="E222" i="1"/>
  <c r="E223" i="1"/>
  <c r="E224" i="1"/>
  <c r="E225" i="1"/>
  <c r="D225" i="1" s="1"/>
  <c r="E226" i="1"/>
  <c r="D226" i="1" s="1"/>
  <c r="E227" i="1"/>
  <c r="D227" i="1" s="1"/>
  <c r="E228" i="1"/>
  <c r="E229" i="1"/>
  <c r="D229" i="1" s="1"/>
  <c r="E230" i="1"/>
  <c r="D230" i="1" s="1"/>
  <c r="E231" i="1"/>
  <c r="E232" i="1"/>
  <c r="E233" i="1"/>
  <c r="E234" i="1"/>
  <c r="E235" i="1"/>
  <c r="E236" i="1"/>
  <c r="E237" i="1"/>
  <c r="D237" i="1" s="1"/>
  <c r="E238" i="1"/>
  <c r="D238" i="1" s="1"/>
  <c r="E239" i="1"/>
  <c r="D239" i="1" s="1"/>
  <c r="E240" i="1"/>
  <c r="E241" i="1"/>
  <c r="D241" i="1" s="1"/>
  <c r="E242" i="1"/>
  <c r="D242" i="1" s="1"/>
  <c r="E243" i="1"/>
  <c r="E244" i="1"/>
  <c r="E245" i="1"/>
  <c r="E246" i="1"/>
  <c r="E247" i="1"/>
  <c r="E248" i="1"/>
  <c r="E249" i="1"/>
  <c r="D249" i="1" s="1"/>
  <c r="E250" i="1"/>
  <c r="D250" i="1" s="1"/>
  <c r="E251" i="1"/>
  <c r="D251" i="1" s="1"/>
  <c r="E252" i="1"/>
  <c r="E253" i="1"/>
  <c r="D253" i="1" s="1"/>
  <c r="E254" i="1"/>
  <c r="D254" i="1" s="1"/>
  <c r="E255" i="1"/>
  <c r="E256" i="1"/>
  <c r="E257" i="1"/>
  <c r="E258" i="1"/>
  <c r="E259" i="1"/>
  <c r="E260" i="1"/>
  <c r="E261" i="1"/>
  <c r="D261" i="1" s="1"/>
  <c r="E262" i="1"/>
  <c r="D262" i="1" s="1"/>
  <c r="E263" i="1"/>
  <c r="D263" i="1" s="1"/>
  <c r="E264" i="1"/>
  <c r="E265" i="1"/>
  <c r="D265" i="1" s="1"/>
  <c r="E266" i="1"/>
  <c r="D266" i="1" s="1"/>
  <c r="E267" i="1"/>
  <c r="E268" i="1"/>
  <c r="E269" i="1"/>
  <c r="E270" i="1"/>
  <c r="E271" i="1"/>
  <c r="E272" i="1"/>
  <c r="E273" i="1"/>
  <c r="D273" i="1" s="1"/>
  <c r="E274" i="1"/>
  <c r="D274" i="1" s="1"/>
  <c r="E275" i="1"/>
  <c r="D275" i="1" s="1"/>
  <c r="E276" i="1"/>
  <c r="E277" i="1"/>
  <c r="D277" i="1" s="1"/>
  <c r="E278" i="1"/>
  <c r="D278" i="1" s="1"/>
  <c r="E279" i="1"/>
  <c r="E280" i="1"/>
  <c r="E281" i="1"/>
  <c r="E282" i="1"/>
  <c r="E283" i="1"/>
  <c r="E284" i="1"/>
  <c r="E285" i="1"/>
  <c r="D285" i="1" s="1"/>
  <c r="E286" i="1"/>
  <c r="D286" i="1" s="1"/>
  <c r="E287" i="1"/>
  <c r="D287" i="1" s="1"/>
  <c r="E288" i="1"/>
  <c r="E289" i="1"/>
  <c r="D289" i="1" s="1"/>
  <c r="E290" i="1"/>
  <c r="D290" i="1" s="1"/>
  <c r="E291" i="1"/>
  <c r="E292" i="1"/>
  <c r="E293" i="1"/>
  <c r="E294" i="1"/>
  <c r="E295" i="1"/>
  <c r="E296" i="1"/>
  <c r="E297" i="1"/>
  <c r="D297" i="1" s="1"/>
  <c r="E298" i="1"/>
  <c r="D298" i="1" s="1"/>
  <c r="E299" i="1"/>
  <c r="D299" i="1" s="1"/>
  <c r="E300" i="1"/>
  <c r="E301" i="1"/>
  <c r="D301" i="1" s="1"/>
  <c r="E302" i="1"/>
  <c r="D302" i="1" s="1"/>
  <c r="E303" i="1"/>
  <c r="E304" i="1"/>
  <c r="E305" i="1"/>
  <c r="E306" i="1"/>
  <c r="E307" i="1"/>
  <c r="E308" i="1"/>
  <c r="E309" i="1"/>
  <c r="D309" i="1" s="1"/>
  <c r="E310" i="1"/>
  <c r="D310" i="1" s="1"/>
  <c r="E311" i="1"/>
  <c r="D311" i="1" s="1"/>
  <c r="E312" i="1"/>
  <c r="E313" i="1"/>
  <c r="D313" i="1" s="1"/>
  <c r="E314" i="1"/>
  <c r="D314" i="1" s="1"/>
  <c r="E315" i="1"/>
  <c r="E316" i="1"/>
  <c r="E317" i="1"/>
  <c r="E318" i="1"/>
  <c r="E319" i="1"/>
  <c r="E320" i="1"/>
  <c r="D3" i="1"/>
  <c r="D4" i="1"/>
  <c r="D5" i="1"/>
  <c r="D7" i="1"/>
  <c r="D8" i="1"/>
  <c r="D12" i="1"/>
  <c r="D15" i="1"/>
  <c r="D16" i="1"/>
  <c r="D17" i="1"/>
  <c r="D18" i="1"/>
  <c r="D19" i="1"/>
  <c r="D20" i="1"/>
  <c r="D24" i="1"/>
  <c r="D27" i="1"/>
  <c r="D28" i="1"/>
  <c r="D29" i="1"/>
  <c r="D30" i="1"/>
  <c r="D36" i="1"/>
  <c r="D39" i="1"/>
  <c r="D40" i="1"/>
  <c r="D41" i="1"/>
  <c r="D42" i="1"/>
  <c r="D43" i="1"/>
  <c r="D44" i="1"/>
  <c r="D48" i="1"/>
  <c r="D51" i="1"/>
  <c r="D52" i="1"/>
  <c r="D60" i="1"/>
  <c r="D63" i="1"/>
  <c r="D64" i="1"/>
  <c r="D65" i="1"/>
  <c r="D66" i="1"/>
  <c r="D72" i="1"/>
  <c r="D75" i="1"/>
  <c r="D76" i="1"/>
  <c r="D78" i="1"/>
  <c r="D80" i="1"/>
  <c r="D84" i="1"/>
  <c r="D87" i="1"/>
  <c r="D88" i="1"/>
  <c r="D90" i="1"/>
  <c r="D91" i="1"/>
  <c r="D96" i="1"/>
  <c r="D99" i="1"/>
  <c r="D100" i="1"/>
  <c r="D101" i="1"/>
  <c r="D102" i="1"/>
  <c r="D103" i="1"/>
  <c r="D104" i="1"/>
  <c r="D108" i="1"/>
  <c r="D111" i="1"/>
  <c r="D112" i="1"/>
  <c r="D113" i="1"/>
  <c r="D120" i="1"/>
  <c r="D123" i="1"/>
  <c r="D124" i="1"/>
  <c r="D125" i="1"/>
  <c r="D126" i="1"/>
  <c r="D127" i="1"/>
  <c r="D132" i="1"/>
  <c r="D135" i="1"/>
  <c r="D136" i="1"/>
  <c r="D144" i="1"/>
  <c r="D147" i="1"/>
  <c r="D148" i="1"/>
  <c r="D149" i="1"/>
  <c r="D151" i="1"/>
  <c r="D152" i="1"/>
  <c r="D156" i="1"/>
  <c r="D159" i="1"/>
  <c r="D160" i="1"/>
  <c r="D161" i="1"/>
  <c r="D162" i="1"/>
  <c r="D163" i="1"/>
  <c r="D164" i="1"/>
  <c r="D168" i="1"/>
  <c r="D171" i="1"/>
  <c r="D172" i="1"/>
  <c r="D173" i="1"/>
  <c r="D174" i="1"/>
  <c r="D180" i="1"/>
  <c r="D183" i="1"/>
  <c r="D184" i="1"/>
  <c r="D185" i="1"/>
  <c r="D186" i="1"/>
  <c r="D187" i="1"/>
  <c r="D188" i="1"/>
  <c r="D192" i="1"/>
  <c r="D195" i="1"/>
  <c r="D196" i="1"/>
  <c r="D204" i="1"/>
  <c r="D207" i="1"/>
  <c r="D208" i="1"/>
  <c r="D209" i="1"/>
  <c r="D210" i="1"/>
  <c r="D216" i="1"/>
  <c r="D219" i="1"/>
  <c r="D220" i="1"/>
  <c r="D221" i="1"/>
  <c r="D222" i="1"/>
  <c r="D223" i="1"/>
  <c r="D224" i="1"/>
  <c r="D228" i="1"/>
  <c r="D231" i="1"/>
  <c r="D232" i="1"/>
  <c r="D234" i="1"/>
  <c r="D235" i="1"/>
  <c r="D240" i="1"/>
  <c r="D243" i="1"/>
  <c r="D244" i="1"/>
  <c r="D245" i="1"/>
  <c r="D246" i="1"/>
  <c r="D247" i="1"/>
  <c r="D248" i="1"/>
  <c r="D252" i="1"/>
  <c r="D255" i="1"/>
  <c r="D256" i="1"/>
  <c r="D257" i="1"/>
  <c r="D264" i="1"/>
  <c r="D267" i="1"/>
  <c r="D268" i="1"/>
  <c r="D269" i="1"/>
  <c r="D270" i="1"/>
  <c r="D271" i="1"/>
  <c r="D276" i="1"/>
  <c r="D279" i="1"/>
  <c r="D280" i="1"/>
  <c r="D288" i="1"/>
  <c r="D291" i="1"/>
  <c r="D292" i="1"/>
  <c r="D293" i="1"/>
  <c r="D295" i="1"/>
  <c r="D296" i="1"/>
  <c r="D300" i="1"/>
  <c r="D303" i="1"/>
  <c r="D304" i="1"/>
  <c r="D305" i="1"/>
  <c r="D306" i="1"/>
  <c r="D307" i="1"/>
  <c r="D308" i="1"/>
  <c r="D312" i="1"/>
  <c r="D315" i="1"/>
  <c r="D316" i="1"/>
  <c r="D317" i="1"/>
  <c r="D318" i="1"/>
  <c r="D2" i="1"/>
  <c r="G2" i="1"/>
  <c r="E2" i="1"/>
  <c r="F2" i="1"/>
  <c r="D107" i="1" l="1"/>
  <c r="D35" i="1"/>
  <c r="D202" i="1"/>
  <c r="D153" i="1"/>
  <c r="D47" i="1"/>
  <c r="D190" i="1"/>
  <c r="D165" i="1"/>
</calcChain>
</file>

<file path=xl/sharedStrings.xml><?xml version="1.0" encoding="utf-8"?>
<sst xmlns="http://schemas.openxmlformats.org/spreadsheetml/2006/main" count="4486" uniqueCount="755">
  <si>
    <t>Категория товара</t>
  </si>
  <si>
    <t>Товар</t>
  </si>
  <si>
    <t>Направление торговли</t>
  </si>
  <si>
    <t>Маржа (%)</t>
  </si>
  <si>
    <t>Себестоимость</t>
  </si>
  <si>
    <t>Выручка</t>
  </si>
  <si>
    <t>Прибыль</t>
  </si>
  <si>
    <t>Документ прихода</t>
  </si>
  <si>
    <t>Документ расхода</t>
  </si>
  <si>
    <t>Цена прихода</t>
  </si>
  <si>
    <t>Цена расхода</t>
  </si>
  <si>
    <t>Количество</t>
  </si>
  <si>
    <t>Дата прихода</t>
  </si>
  <si>
    <t>Дата расхода</t>
  </si>
  <si>
    <t>Агент</t>
  </si>
  <si>
    <t>ИД агента</t>
  </si>
  <si>
    <t>ИД документа прихода</t>
  </si>
  <si>
    <t>ИД документа расхода</t>
  </si>
  <si>
    <t>ИД клиента прихода</t>
  </si>
  <si>
    <t>ИД клиента расхода</t>
  </si>
  <si>
    <t>ИД товара</t>
  </si>
  <si>
    <t>Клиент прихода</t>
  </si>
  <si>
    <t>Клиент расхода</t>
  </si>
  <si>
    <t>ONLEM BREND</t>
  </si>
  <si>
    <t>Onlem Vlajniy salfetki {65}</t>
  </si>
  <si>
    <t>Направления торговли</t>
  </si>
  <si>
    <t>Приход</t>
  </si>
  <si>
    <t>Продажа</t>
  </si>
  <si>
    <t>2026-01-29 16:01:13</t>
  </si>
  <si>
    <t>2026-02-06 09:00:00</t>
  </si>
  <si>
    <t>Abduraximova Muxayyoxon</t>
  </si>
  <si>
    <t>d0_10</t>
  </si>
  <si>
    <t>d0_108</t>
  </si>
  <si>
    <t>d0_2986</t>
  </si>
  <si>
    <t>p9_6086</t>
  </si>
  <si>
    <t>d0_1142</t>
  </si>
  <si>
    <t>Iris Dorixona G'ish Kuprik</t>
  </si>
  <si>
    <t>ABS</t>
  </si>
  <si>
    <t>ABC Parashok 1,5 kg</t>
  </si>
  <si>
    <t>2026-01-09 16:14:44</t>
  </si>
  <si>
    <t>d0_13</t>
  </si>
  <si>
    <t>d0_2981</t>
  </si>
  <si>
    <t>f1_6342</t>
  </si>
  <si>
    <t>d0_1589</t>
  </si>
  <si>
    <t>Bek Market G'ish kuprik</t>
  </si>
  <si>
    <t>d0_2987</t>
  </si>
  <si>
    <t>Shaxui</t>
  </si>
  <si>
    <t>CHINA Shaxui+ Kapsula 61</t>
  </si>
  <si>
    <t>2026-01-15 09:37:54</t>
  </si>
  <si>
    <t>d0_49</t>
  </si>
  <si>
    <t>d0_2967</t>
  </si>
  <si>
    <t>k9_5922</t>
  </si>
  <si>
    <t>d0_3068</t>
  </si>
  <si>
    <t>Ali Market O'rda Ruparasi</t>
  </si>
  <si>
    <t>ONLEM Pampers BOTANIKA</t>
  </si>
  <si>
    <t>2026-01-06 21:00:51</t>
  </si>
  <si>
    <t>d0_2</t>
  </si>
  <si>
    <t>d0_2966</t>
  </si>
  <si>
    <t>c7_5970</t>
  </si>
  <si>
    <t>d0_3795</t>
  </si>
  <si>
    <t>BIM market Gorod</t>
  </si>
  <si>
    <t>Divina Vlajniy salfetki 120*12</t>
  </si>
  <si>
    <t>2026-01-08 08:42:54</t>
  </si>
  <si>
    <t>d0_4</t>
  </si>
  <si>
    <t>d0_3844</t>
  </si>
  <si>
    <t>ONLEM Pampers 1*78</t>
  </si>
  <si>
    <t>2026-01-28 17:25:49</t>
  </si>
  <si>
    <t>d0_101</t>
  </si>
  <si>
    <t>d0_3011</t>
  </si>
  <si>
    <t>g0_5130</t>
  </si>
  <si>
    <t>d0_3845</t>
  </si>
  <si>
    <t>NASTARIN market Dang'ara</t>
  </si>
  <si>
    <t>ONLEM Pampers 2*72</t>
  </si>
  <si>
    <t>d0_3846</t>
  </si>
  <si>
    <t>d0_2965</t>
  </si>
  <si>
    <t>h6_5920</t>
  </si>
  <si>
    <t>Mukammal Market O'rda Ruparasi</t>
  </si>
  <si>
    <t>ONLEM Pampers 3*68</t>
  </si>
  <si>
    <t>d0_3847</t>
  </si>
  <si>
    <t>d0_2973</t>
  </si>
  <si>
    <t>k9_5929</t>
  </si>
  <si>
    <t>AVAZXON market Garatiskoy</t>
  </si>
  <si>
    <t>d0_2980</t>
  </si>
  <si>
    <t>r5_6182</t>
  </si>
  <si>
    <t>Pepsi Market Yog'bozori</t>
  </si>
  <si>
    <t>ONLEM Pampers 4*56</t>
  </si>
  <si>
    <t>d0_2952</t>
  </si>
  <si>
    <t>i0_6337</t>
  </si>
  <si>
    <t>d0_3848</t>
  </si>
  <si>
    <t>Bek Market G'ozyog'li</t>
  </si>
  <si>
    <t>ONLEM Pampers 5*44</t>
  </si>
  <si>
    <t>d0_3849</t>
  </si>
  <si>
    <t>d0_2983</t>
  </si>
  <si>
    <t>f2_5746</t>
  </si>
  <si>
    <t>Famile Market G'isht Kuprik</t>
  </si>
  <si>
    <t>ONLEM Pampers 6*32</t>
  </si>
  <si>
    <t>d0_3850</t>
  </si>
  <si>
    <t>ONLEM Vlajniy salfetki 120</t>
  </si>
  <si>
    <t>2026-02-04 14:45:03</t>
  </si>
  <si>
    <t>d0_135</t>
  </si>
  <si>
    <t>d0_3854</t>
  </si>
  <si>
    <t>ONLEM Mini 1*11</t>
  </si>
  <si>
    <t>d0_2995</t>
  </si>
  <si>
    <t>z0_5937</t>
  </si>
  <si>
    <t>d0_3866</t>
  </si>
  <si>
    <t>UNI Market Detiskiy Oldi</t>
  </si>
  <si>
    <t>ONLEM Mini 2*10</t>
  </si>
  <si>
    <t>d0_3867</t>
  </si>
  <si>
    <t>Sa gel</t>
  </si>
  <si>
    <t>Sa Gel +kondisioner 5 L [Elegance]</t>
  </si>
  <si>
    <t>2026-02-04 11:26:43</t>
  </si>
  <si>
    <t>d0_130</t>
  </si>
  <si>
    <t>d0_2992</t>
  </si>
  <si>
    <t>m5_5426</t>
  </si>
  <si>
    <t>d0_4130</t>
  </si>
  <si>
    <t>Oziq Ovqat Market Kalvak</t>
  </si>
  <si>
    <t>d0_2993</t>
  </si>
  <si>
    <t>f5_5095</t>
  </si>
  <si>
    <t>SODIQ market kalvak</t>
  </si>
  <si>
    <t>d0_2994</t>
  </si>
  <si>
    <t>f6_5441</t>
  </si>
  <si>
    <t>EKO market Kalvak</t>
  </si>
  <si>
    <t>Sa Gel +kondisioner 5 L [Lavander]</t>
  </si>
  <si>
    <t>2026-02-04 12:38:45</t>
  </si>
  <si>
    <t>d0_134</t>
  </si>
  <si>
    <t>d0_4135</t>
  </si>
  <si>
    <t>Sa Gel +kondisioner 5 L [Lili &amp; Lotus]</t>
  </si>
  <si>
    <t>d0_4142</t>
  </si>
  <si>
    <t>Sa Kondisioner 1500 ml</t>
  </si>
  <si>
    <t>d0_4147</t>
  </si>
  <si>
    <t>AKX Walner</t>
  </si>
  <si>
    <t>WALLNER Antijir 600ml</t>
  </si>
  <si>
    <t>d0_4306</t>
  </si>
  <si>
    <t>WALLNER KAZAN 600ml</t>
  </si>
  <si>
    <t>2026-01-10 14:26:47</t>
  </si>
  <si>
    <t>d0_27</t>
  </si>
  <si>
    <t>d0_4307</t>
  </si>
  <si>
    <t>WALLNER Chistol 400ml</t>
  </si>
  <si>
    <t>d0_4311</t>
  </si>
  <si>
    <t>WALLNER Parashok 3 kg</t>
  </si>
  <si>
    <t>d0_4312</t>
  </si>
  <si>
    <t>AKS Gel 450ml</t>
  </si>
  <si>
    <t>2026-02-04 12:02:27</t>
  </si>
  <si>
    <t>d0_133</t>
  </si>
  <si>
    <t>d0_4313</t>
  </si>
  <si>
    <t>d0_2997</t>
  </si>
  <si>
    <t>e4_6346</t>
  </si>
  <si>
    <t>GALINA AKBARALIYEVNA</t>
  </si>
  <si>
    <t>ESVIRO J/M 270ml</t>
  </si>
  <si>
    <t>d0_4338</t>
  </si>
  <si>
    <t>ESVIRO Osvijitel 250 ml</t>
  </si>
  <si>
    <t>d0_4355</t>
  </si>
  <si>
    <t>AKS Gel 200 ml</t>
  </si>
  <si>
    <t>d0_4359</t>
  </si>
  <si>
    <t>Divina Vlajniy salfetki 120*12 Bonus</t>
  </si>
  <si>
    <t>2026-01-17 11:15:38</t>
  </si>
  <si>
    <t>d0_63</t>
  </si>
  <si>
    <t>d0_4472</t>
  </si>
  <si>
    <t>Unilever</t>
  </si>
  <si>
    <t>DOVE Asartiment {JEN} 150ml</t>
  </si>
  <si>
    <t>Aliakbar Yusupov</t>
  </si>
  <si>
    <t>d0_11</t>
  </si>
  <si>
    <t>d0_3007</t>
  </si>
  <si>
    <t>o6_5927</t>
  </si>
  <si>
    <t>d0_1228</t>
  </si>
  <si>
    <t>Yaxyo Aka</t>
  </si>
  <si>
    <t>DOVE Asartiment {MUJ} 150ml</t>
  </si>
  <si>
    <t>d0_1229</t>
  </si>
  <si>
    <t>REXONA Asartiment {MUJ} 150ml</t>
  </si>
  <si>
    <t>d0_3006</t>
  </si>
  <si>
    <t>r2_6178</t>
  </si>
  <si>
    <t>d0_1268</t>
  </si>
  <si>
    <t>Muhammad RiZo Aka</t>
  </si>
  <si>
    <t>DOVE Anor 250 ml jen</t>
  </si>
  <si>
    <t>2026-01-21 19:44:22</t>
  </si>
  <si>
    <t>d0_79</t>
  </si>
  <si>
    <t>d0_2989</t>
  </si>
  <si>
    <t>x5_5604</t>
  </si>
  <si>
    <t>d0_1337</t>
  </si>
  <si>
    <t>Salomat Market</t>
  </si>
  <si>
    <t>DOVE Nok 250 ml jen</t>
  </si>
  <si>
    <t>d0_1340</t>
  </si>
  <si>
    <t>DOVE Olma 250 ml jen</t>
  </si>
  <si>
    <t>d0_1341</t>
  </si>
  <si>
    <t>DOVE Cool fresh 250 ml muj</t>
  </si>
  <si>
    <t>d0_1344</t>
  </si>
  <si>
    <t>DOVE Clean comfort 250 ml muj</t>
  </si>
  <si>
    <t>d0_1345</t>
  </si>
  <si>
    <t>DOVE Stic Go fresh cucumber 40 gr</t>
  </si>
  <si>
    <t>d0_1368</t>
  </si>
  <si>
    <t>DOVE Stic Invisible dry 50 ml muj</t>
  </si>
  <si>
    <t>d0_1369</t>
  </si>
  <si>
    <t>DOVE Stic Orginal 40 gr</t>
  </si>
  <si>
    <t>2026-01-11 18:22:14</t>
  </si>
  <si>
    <t>d0_34</t>
  </si>
  <si>
    <t>d0_1370</t>
  </si>
  <si>
    <t>DOVE Stic Sensitive 40 gr</t>
  </si>
  <si>
    <t>d0_1372</t>
  </si>
  <si>
    <t>DOVE Stic Ultim Repair Jasmine 40 gr</t>
  </si>
  <si>
    <t>d0_1373</t>
  </si>
  <si>
    <t>REXONA Men XTRA COOL 200 ml [Q]</t>
  </si>
  <si>
    <t>d0_1381</t>
  </si>
  <si>
    <t>REXONA Men Eks Zash 200 ml {12}[A]</t>
  </si>
  <si>
    <t>d0_1384</t>
  </si>
  <si>
    <t>REXONA Men Prozlachniy led 200 ml {12}</t>
  </si>
  <si>
    <t>d0_1387</t>
  </si>
  <si>
    <t>REXONA Women Suxost pudri 200 ml {12}[A]</t>
  </si>
  <si>
    <t>d0_1388</t>
  </si>
  <si>
    <t>REXONA Women Legkost hlopka 200 ml {12}[A]</t>
  </si>
  <si>
    <t>d0_1390</t>
  </si>
  <si>
    <t>DOVE minearal sage 250 ml muj</t>
  </si>
  <si>
    <t>d0_1409</t>
  </si>
  <si>
    <t>Aralash</t>
  </si>
  <si>
    <t>Bavi Otbelivatel 60 gr</t>
  </si>
  <si>
    <t>2026-01-20 14:02:02</t>
  </si>
  <si>
    <t>d0_72</t>
  </si>
  <si>
    <t>d0_1895</t>
  </si>
  <si>
    <t>AZELIT Russ Kazan</t>
  </si>
  <si>
    <t>2026-01-31 15:43:58</t>
  </si>
  <si>
    <t>d0_118</t>
  </si>
  <si>
    <t>d0_2054</t>
  </si>
  <si>
    <t>AZELIT Russ Gaz</t>
  </si>
  <si>
    <t>2026-01-20 10:25:07</t>
  </si>
  <si>
    <t>d0_68</t>
  </si>
  <si>
    <t>d0_2055</t>
  </si>
  <si>
    <t>MOYSHI</t>
  </si>
  <si>
    <t>PEMOLUKS Chistol 480 g</t>
  </si>
  <si>
    <t>2026-01-31 18:47:25</t>
  </si>
  <si>
    <t>d0_122</t>
  </si>
  <si>
    <t>d0_3010</t>
  </si>
  <si>
    <t>g0_4684</t>
  </si>
  <si>
    <t>d0_2091</t>
  </si>
  <si>
    <t>Shafran Market</t>
  </si>
  <si>
    <t>CALGON tabletka brend 15x7</t>
  </si>
  <si>
    <t>d0_2120</t>
  </si>
  <si>
    <t>AZELIT KAZAN [Rus Uzb]</t>
  </si>
  <si>
    <t>d0_3013</t>
  </si>
  <si>
    <t>o3_4689</t>
  </si>
  <si>
    <t>d0_2237</t>
  </si>
  <si>
    <t>Jumaydulloh Aka</t>
  </si>
  <si>
    <t>AZELIT Gaz [Rus Uzb]</t>
  </si>
  <si>
    <t>d0_2238</t>
  </si>
  <si>
    <t>YUMOS Pushti 1440ml</t>
  </si>
  <si>
    <t>2026-01-31 15:19:58</t>
  </si>
  <si>
    <t>d0_116</t>
  </si>
  <si>
    <t>d0_2988</t>
  </si>
  <si>
    <t>k1_5601</t>
  </si>
  <si>
    <t>d0_2361</t>
  </si>
  <si>
    <t>Rovashn Aka</t>
  </si>
  <si>
    <t>Henkel</t>
  </si>
  <si>
    <t>PERSIL Eron Gel Premum 900ml</t>
  </si>
  <si>
    <t>2026-02-01 11:07:50</t>
  </si>
  <si>
    <t>d0_123</t>
  </si>
  <si>
    <t>d0_2439</t>
  </si>
  <si>
    <t>PERSIL Gel lavanda 2.7 L</t>
  </si>
  <si>
    <t>2026-01-20 10:46:03</t>
  </si>
  <si>
    <t>d0_69</t>
  </si>
  <si>
    <t>d0_2445</t>
  </si>
  <si>
    <t>Losk Parashok  2.7 kg</t>
  </si>
  <si>
    <t>d0_2534</t>
  </si>
  <si>
    <t>YUMOS Pushti 450ml</t>
  </si>
  <si>
    <t>2026-01-17 11:46:52</t>
  </si>
  <si>
    <t>d0_64</t>
  </si>
  <si>
    <t>d0_2685</t>
  </si>
  <si>
    <t>YUMOS Pushti 500 ml</t>
  </si>
  <si>
    <t>d0_2699</t>
  </si>
  <si>
    <t>YUMOS Qizil 450ml</t>
  </si>
  <si>
    <t>2026-01-10 18:14:47</t>
  </si>
  <si>
    <t>d0_29</t>
  </si>
  <si>
    <t>d0_2704</t>
  </si>
  <si>
    <t>YUMOS Mavi Gelincek 430 ml</t>
  </si>
  <si>
    <t>d0_2736</t>
  </si>
  <si>
    <t>Clear  Shampun [Glubokiy ochisheni] 380 ml [Rus] {5} {MUJ}</t>
  </si>
  <si>
    <t>2026-01-25 11:53:03</t>
  </si>
  <si>
    <t>d0_92</t>
  </si>
  <si>
    <t>d0_3009</t>
  </si>
  <si>
    <t>u3_4683</t>
  </si>
  <si>
    <t>d0_276</t>
  </si>
  <si>
    <t>Abdulloh Market</t>
  </si>
  <si>
    <t>Clear  Shampun [Aktiv sport] 380 ml [Rus] {5} {MUJ}</t>
  </si>
  <si>
    <t>d0_278</t>
  </si>
  <si>
    <t>DOVE Turk Shampun Asartiment 400ml</t>
  </si>
  <si>
    <t>d0_397</t>
  </si>
  <si>
    <t>KAPSULA</t>
  </si>
  <si>
    <t>Barg 60</t>
  </si>
  <si>
    <t>2026-01-25 12:05:23</t>
  </si>
  <si>
    <t>d0_93</t>
  </si>
  <si>
    <t>d0_4400</t>
  </si>
  <si>
    <t>d0_2990</t>
  </si>
  <si>
    <t>l5_5595</t>
  </si>
  <si>
    <t>Shodlik Optom Dukon</t>
  </si>
  <si>
    <t>KERASYS [Kopum] Kapsula 32 ECLAT LAVENDAR</t>
  </si>
  <si>
    <t>2026-01-22 12:55:49</t>
  </si>
  <si>
    <t>d0_82</t>
  </si>
  <si>
    <t>d0_523</t>
  </si>
  <si>
    <t>KERASYS [Kopum] Kapsula 32 SAKURA CHERRY</t>
  </si>
  <si>
    <t>d0_524</t>
  </si>
  <si>
    <t>Doctor Fresh</t>
  </si>
  <si>
    <t>DOCTOR-F Shampun 780 ml</t>
  </si>
  <si>
    <t>d0_728</t>
  </si>
  <si>
    <t>DOVE Asartiment 90g</t>
  </si>
  <si>
    <t>d0_3008</t>
  </si>
  <si>
    <t>g1_5925</t>
  </si>
  <si>
    <t>d0_812</t>
  </si>
  <si>
    <t>Qobiljon Aka</t>
  </si>
  <si>
    <t>SOVUN</t>
  </si>
  <si>
    <t>LUX Sovun 80 gr</t>
  </si>
  <si>
    <t>d0_867</t>
  </si>
  <si>
    <t>DOVE Asartiment 135g</t>
  </si>
  <si>
    <t>d0_887</t>
  </si>
  <si>
    <t>YUMOS Ko`k 1440ml</t>
  </si>
  <si>
    <t>2026-02-06 14:41:43</t>
  </si>
  <si>
    <t>Axmedova Xalimaxon</t>
  </si>
  <si>
    <t>d0_7</t>
  </si>
  <si>
    <t>d0_3005</t>
  </si>
  <si>
    <t>h7_4549</t>
  </si>
  <si>
    <t>d0_2360</t>
  </si>
  <si>
    <t>BIM MARKET GOROD</t>
  </si>
  <si>
    <t>YUMOS Sariq 1440ml</t>
  </si>
  <si>
    <t>2026-01-08 12:10:44</t>
  </si>
  <si>
    <t>d0_2362</t>
  </si>
  <si>
    <t>YUMOS Qizil 1440ml</t>
  </si>
  <si>
    <t>d0_2375</t>
  </si>
  <si>
    <t>YUMOS Sakura   1440ml</t>
  </si>
  <si>
    <t>d0_2427</t>
  </si>
  <si>
    <t>OSVIJITEL</t>
  </si>
  <si>
    <t>DUBAY Osvijitel 300ml</t>
  </si>
  <si>
    <t>d0_2678</t>
  </si>
  <si>
    <t>2026-02-06 16:07:05</t>
  </si>
  <si>
    <t>d0_2819</t>
  </si>
  <si>
    <t>q4_4664</t>
  </si>
  <si>
    <t>ISMOILXON MARKET NAYMANCHA</t>
  </si>
  <si>
    <t>Clear  Shampun [Miyaxkiy i blestaya] 380 ml [Rus] {5}{JEN}</t>
  </si>
  <si>
    <t>d0_285</t>
  </si>
  <si>
    <t>Clear  Shampun [Osnovnoy uxod] 380 ml [Rus] {5}{JEN}</t>
  </si>
  <si>
    <t>d0_290</t>
  </si>
  <si>
    <t>SLEEPY BREND</t>
  </si>
  <si>
    <t>COMPAKT Vatniy Diski CC 326 50x48</t>
  </si>
  <si>
    <t>2026-02-06 13:44:17</t>
  </si>
  <si>
    <t>d0_2927</t>
  </si>
  <si>
    <t>u9_6160</t>
  </si>
  <si>
    <t>d0_3940</t>
  </si>
  <si>
    <t>SLAKE MARKET BATALYON OLDI</t>
  </si>
  <si>
    <t>Clear  Shampun Aktiv Kul {Muj} 380ml</t>
  </si>
  <si>
    <t>2026-01-29 11:04:19</t>
  </si>
  <si>
    <t>d0_104</t>
  </si>
  <si>
    <t>d0_645</t>
  </si>
  <si>
    <t>Camay Sovun 165 gr</t>
  </si>
  <si>
    <t>d0_906</t>
  </si>
  <si>
    <t>Maxmudov Abdulazizxon</t>
  </si>
  <si>
    <t>d0_21</t>
  </si>
  <si>
    <t>d0_2972</t>
  </si>
  <si>
    <t>m7_5209</t>
  </si>
  <si>
    <t>Clean Homme. Кукон</t>
  </si>
  <si>
    <t>DEZODARANT</t>
  </si>
  <si>
    <t>NIVEA Asartiment Russ {JEN} 150ml</t>
  </si>
  <si>
    <t>d0_1247</t>
  </si>
  <si>
    <t>Procter</t>
  </si>
  <si>
    <t>OLD SPICE Stic nightpanther 50gr</t>
  </si>
  <si>
    <t>d0_1260</t>
  </si>
  <si>
    <t>REXONA Asartiment {JEN} 150ml</t>
  </si>
  <si>
    <t>d0_1267</t>
  </si>
  <si>
    <t>OLD SPICE Stic bear 50gr</t>
  </si>
  <si>
    <t>d0_1309</t>
  </si>
  <si>
    <t>REXONA Clinical Asartiment  150ml</t>
  </si>
  <si>
    <t>d0_1403</t>
  </si>
  <si>
    <t>PARASHOK</t>
  </si>
  <si>
    <t>KERASYS Kopum Plus Parashok 3 kg</t>
  </si>
  <si>
    <t>d0_2974</t>
  </si>
  <si>
    <t>a4_6339</t>
  </si>
  <si>
    <t>d0_1540</t>
  </si>
  <si>
    <t>Алимардон 1442 Андижон</t>
  </si>
  <si>
    <t>ARIEL Russ 3 kg</t>
  </si>
  <si>
    <t>2026-02-04 11:36:11</t>
  </si>
  <si>
    <t>d0_131</t>
  </si>
  <si>
    <t>d0_2953</t>
  </si>
  <si>
    <t>j9_4541</t>
  </si>
  <si>
    <t>d0_1563</t>
  </si>
  <si>
    <t>Ислом ака Ширин</t>
  </si>
  <si>
    <t>TIDE Parashok 3 kg</t>
  </si>
  <si>
    <t>d0_1581</t>
  </si>
  <si>
    <t>PERSIL Eron 3 kg</t>
  </si>
  <si>
    <t>d0_1615</t>
  </si>
  <si>
    <t>PERSIL Eron Premium 3 kg</t>
  </si>
  <si>
    <t>d0_1647</t>
  </si>
  <si>
    <t>ARIEL Russ 2.5 kg</t>
  </si>
  <si>
    <t>d0_2955</t>
  </si>
  <si>
    <t>o6_4543</t>
  </si>
  <si>
    <t>d0_1688</t>
  </si>
  <si>
    <t>Зухриддин ака 9222 Наманган</t>
  </si>
  <si>
    <t>VANISH Gilam 450ml</t>
  </si>
  <si>
    <t>2026-02-04 10:04:57</t>
  </si>
  <si>
    <t>d0_128</t>
  </si>
  <si>
    <t>d0_1993</t>
  </si>
  <si>
    <t>Ecotab Antizasor 400 gr</t>
  </si>
  <si>
    <t>2026-01-30 16:29:09</t>
  </si>
  <si>
    <t>d0_111</t>
  </si>
  <si>
    <t>d0_2020</t>
  </si>
  <si>
    <t>CIF JEL 750ml</t>
  </si>
  <si>
    <t>d0_2069</t>
  </si>
  <si>
    <t>JOHNSONS Utyonik 500ml</t>
  </si>
  <si>
    <t>2026-01-10 18:09:56</t>
  </si>
  <si>
    <t>d0_28</t>
  </si>
  <si>
    <t>d0_2126</t>
  </si>
  <si>
    <t>Mr.Proper Parashok 400 ml</t>
  </si>
  <si>
    <t>d0_2155</t>
  </si>
  <si>
    <t>DOMESTOS Rus 750 ml</t>
  </si>
  <si>
    <t>d0_2158</t>
  </si>
  <si>
    <t>PERSIL Gel {16} 1040 ml</t>
  </si>
  <si>
    <t>d0_2964</t>
  </si>
  <si>
    <t>f8_4586</t>
  </si>
  <si>
    <t>d0_2346</t>
  </si>
  <si>
    <t>Алишерхон 5277 намонгон</t>
  </si>
  <si>
    <t>PERSIL Gel {60} 3900 ml</t>
  </si>
  <si>
    <t>2026-01-09 10:07:10</t>
  </si>
  <si>
    <t>d0_2349</t>
  </si>
  <si>
    <t>PERSIL Gel 2470 {38}</t>
  </si>
  <si>
    <t>d0_2401</t>
  </si>
  <si>
    <t>PERSIL Gel 1300 ml {20]</t>
  </si>
  <si>
    <t>d0_2413</t>
  </si>
  <si>
    <t>PERSIL Gel ERON Premum 2400ml</t>
  </si>
  <si>
    <t>d0_2440</t>
  </si>
  <si>
    <t>PERSIL Gel zangor 2.7 L</t>
  </si>
  <si>
    <t>d0_2446</t>
  </si>
  <si>
    <t>Eveline</t>
  </si>
  <si>
    <t>Drydry Antiperspirant {Rolik} 50 ML</t>
  </si>
  <si>
    <t>d0_2603</t>
  </si>
  <si>
    <t>AIRTIME Osvijitel 300 ml</t>
  </si>
  <si>
    <t>2026-01-20 12:29:09</t>
  </si>
  <si>
    <t>d0_71</t>
  </si>
  <si>
    <t>d0_2672</t>
  </si>
  <si>
    <t>LAZIZXON AKA Osvijitel Aroma {R} Asvijetel</t>
  </si>
  <si>
    <t>d0_2677</t>
  </si>
  <si>
    <t>Doro Osvijitel [Oq] 100ml</t>
  </si>
  <si>
    <t>2026-02-05 14:28:15</t>
  </si>
  <si>
    <t>d0_138</t>
  </si>
  <si>
    <t>d0_2700</t>
  </si>
  <si>
    <t>Clear  Shampun [protiv vipadeniya volos] 380 ml [Rus] {5}{MUJ}</t>
  </si>
  <si>
    <t>d0_280</t>
  </si>
  <si>
    <t>Asror aka</t>
  </si>
  <si>
    <t>Bioaqua Penka 120 ml</t>
  </si>
  <si>
    <t>d0_2895</t>
  </si>
  <si>
    <t>GILLETTE Blue 2 [5]</t>
  </si>
  <si>
    <t>d0_2924</t>
  </si>
  <si>
    <t>Head&amp;Shoulders Rus Bodom 360 ml</t>
  </si>
  <si>
    <t>2026-01-27 13:56:51</t>
  </si>
  <si>
    <t>d0_95</t>
  </si>
  <si>
    <t>d0_306</t>
  </si>
  <si>
    <t>Head&amp;Shoulders Rus Gladkie I Shepkovistie 360 ml</t>
  </si>
  <si>
    <t>d0_309</t>
  </si>
  <si>
    <t>GILLETTE Blue2 Lenta</t>
  </si>
  <si>
    <t>2026-01-21 19:22:14</t>
  </si>
  <si>
    <t>d0_78</t>
  </si>
  <si>
    <t>d0_3136</t>
  </si>
  <si>
    <t>Muzaffarxon</t>
  </si>
  <si>
    <t>ZAN ATR 100 ml</t>
  </si>
  <si>
    <t>d0_3256</t>
  </si>
  <si>
    <t>d0_2975</t>
  </si>
  <si>
    <t>k9_1135</t>
  </si>
  <si>
    <t>Abdulaziz 2300 Namangan</t>
  </si>
  <si>
    <t>WALLNER Parashok 10 kg</t>
  </si>
  <si>
    <t>d0_4339</t>
  </si>
  <si>
    <t>Xitoy</t>
  </si>
  <si>
    <t>Black hair dye Shampun 500 ml qora C-1</t>
  </si>
  <si>
    <t>2026-01-29 11:50:07</t>
  </si>
  <si>
    <t>d0_105</t>
  </si>
  <si>
    <t>d0_474</t>
  </si>
  <si>
    <t>PANTENE Russ {Yarkos sveta} 400ml</t>
  </si>
  <si>
    <t>d0_604</t>
  </si>
  <si>
    <t>PANTENE Russ {Gustie I Krepkiy} 400ml</t>
  </si>
  <si>
    <t>d0_605</t>
  </si>
  <si>
    <t>Duru  Bonka {Okean Fresh} 100g</t>
  </si>
  <si>
    <t>d0_836</t>
  </si>
  <si>
    <t>LARK Asartiment 150g</t>
  </si>
  <si>
    <t>d0_866</t>
  </si>
  <si>
    <t>SILK Sovun 150g</t>
  </si>
  <si>
    <t>d0_877</t>
  </si>
  <si>
    <t>Duru Gel Sovun 5* 150g</t>
  </si>
  <si>
    <t>d0_902</t>
  </si>
  <si>
    <t>Muxtorxon aka Onlem</t>
  </si>
  <si>
    <t>d0_3</t>
  </si>
  <si>
    <t>d0_2949</t>
  </si>
  <si>
    <t>b5_5621</t>
  </si>
  <si>
    <t>Axror 22</t>
  </si>
  <si>
    <t>d0_2956</t>
  </si>
  <si>
    <t>t6_5279</t>
  </si>
  <si>
    <t>Begzod Farm Rishton</t>
  </si>
  <si>
    <t>COMPAKT Angels 120 (WW120)</t>
  </si>
  <si>
    <t>Muxtorxon aka Sleppy</t>
  </si>
  <si>
    <t>d0_2951</t>
  </si>
  <si>
    <t>x7_5233</t>
  </si>
  <si>
    <t>d0_3926</t>
  </si>
  <si>
    <t>Gilet</t>
  </si>
  <si>
    <t>COMPAKT Mini Momo 120 (WW186)</t>
  </si>
  <si>
    <t>d0_3927</t>
  </si>
  <si>
    <t>COMPAKT Vatniy palochki CC 301 300x24</t>
  </si>
  <si>
    <t>d0_3945</t>
  </si>
  <si>
    <t>Colgate</t>
  </si>
  <si>
    <t>COLGATE pasta dubay 50 DETISKI</t>
  </si>
  <si>
    <t>2026-01-21 18:36:20</t>
  </si>
  <si>
    <t>Nilufarxon</t>
  </si>
  <si>
    <t>d0_77</t>
  </si>
  <si>
    <t>d0_2960</t>
  </si>
  <si>
    <t>n2_113</t>
  </si>
  <si>
    <t>d0_1853</t>
  </si>
  <si>
    <t>Bim Market</t>
  </si>
  <si>
    <t>COLGATE Maxfresh 100 gr Dubay [Qizil}</t>
  </si>
  <si>
    <t>d0_1884</t>
  </si>
  <si>
    <t>d0_2982</t>
  </si>
  <si>
    <t>a3_5931</t>
  </si>
  <si>
    <t>OZIG OVQAT MAEKET GOZYOGLG</t>
  </si>
  <si>
    <t>COLGATE Advanced WHITE 100 ml</t>
  </si>
  <si>
    <t>d0_1887</t>
  </si>
  <si>
    <t>COLGATE Maxfresh 100g Dubay {zangor}</t>
  </si>
  <si>
    <t>d0_1923</t>
  </si>
  <si>
    <t>d0_2985</t>
  </si>
  <si>
    <t>x5_6343</t>
  </si>
  <si>
    <t>Cola Market Tol Tagi</t>
  </si>
  <si>
    <t>COLGATE Maxfresh 100g Dubay {oq}</t>
  </si>
  <si>
    <t>2026-01-14 11:04:33</t>
  </si>
  <si>
    <t>d0_41</t>
  </si>
  <si>
    <t>d0_1925</t>
  </si>
  <si>
    <t>COLGATE Pasta Extra white 75 ml</t>
  </si>
  <si>
    <t>d0_1941</t>
  </si>
  <si>
    <t>Hot Wax Depilator Shayba {20} 500 gr</t>
  </si>
  <si>
    <t>2026-01-31 15:52:37</t>
  </si>
  <si>
    <t>d0_119</t>
  </si>
  <si>
    <t>d0_2872</t>
  </si>
  <si>
    <t>Hot Wax Depilator granula Konsung vosk 300 gr</t>
  </si>
  <si>
    <t>d0_2894</t>
  </si>
  <si>
    <t>China Ariel Kapsula {80}</t>
  </si>
  <si>
    <t>d0_2957</t>
  </si>
  <si>
    <t>f4_193</t>
  </si>
  <si>
    <t>d0_3077</t>
  </si>
  <si>
    <t>MMM Market</t>
  </si>
  <si>
    <t>d0_2976</t>
  </si>
  <si>
    <t>q2_62</t>
  </si>
  <si>
    <t>Arzon Aptka</t>
  </si>
  <si>
    <t>d0_2969</t>
  </si>
  <si>
    <t>k1_194</t>
  </si>
  <si>
    <t>Al Aziz Market</t>
  </si>
  <si>
    <t>d0_3012</t>
  </si>
  <si>
    <t>b2_6349</t>
  </si>
  <si>
    <t>d0_2991</t>
  </si>
  <si>
    <t>v8_6345</t>
  </si>
  <si>
    <t>Dilbbarapa YANGI YAMON</t>
  </si>
  <si>
    <t>d0_2977</t>
  </si>
  <si>
    <t>j5_6340</t>
  </si>
  <si>
    <t>Аптека Quyosh Farim</t>
  </si>
  <si>
    <t>d0_3004</t>
  </si>
  <si>
    <t>c5_5650</t>
  </si>
  <si>
    <t>Humor Market Shoxistaapa Cha</t>
  </si>
  <si>
    <t>PALMOLIVE Asartiment 150g</t>
  </si>
  <si>
    <t>d0_878</t>
  </si>
  <si>
    <t>Ofis</t>
  </si>
  <si>
    <t>d0_3003</t>
  </si>
  <si>
    <t>c0_4475</t>
  </si>
  <si>
    <t>Sklad Naqd</t>
  </si>
  <si>
    <t>GEL DLYA DUSHA</t>
  </si>
  <si>
    <t>NIVEA Rus Gel Dlya Dush  {MUJ} 500 ml</t>
  </si>
  <si>
    <t>d0_2998</t>
  </si>
  <si>
    <t>d0_143</t>
  </si>
  <si>
    <t>d0_2962</t>
  </si>
  <si>
    <t>d0_2950</t>
  </si>
  <si>
    <t>l3_512</t>
  </si>
  <si>
    <t>Hasanboy Aka Gillette</t>
  </si>
  <si>
    <t>ARIEL Russ 6 kg</t>
  </si>
  <si>
    <t>d0_1594</t>
  </si>
  <si>
    <t>ARIEL Russ 9 kg</t>
  </si>
  <si>
    <t>d0_1598</t>
  </si>
  <si>
    <t>TIDE Russ 9 kg</t>
  </si>
  <si>
    <t>d0_1605</t>
  </si>
  <si>
    <t>ARIEL Parashok {otbelivatel} 500 gr</t>
  </si>
  <si>
    <t>d0_1674</t>
  </si>
  <si>
    <t>Qlean QURUQ SALFETKA</t>
  </si>
  <si>
    <t>d0_2015</t>
  </si>
  <si>
    <t>CLIMAX Gupka {5}</t>
  </si>
  <si>
    <t>d0_2074</t>
  </si>
  <si>
    <t>DOMESTOS Rus 1500 ml</t>
  </si>
  <si>
    <t>d0_2164</t>
  </si>
  <si>
    <t>PERSIL Gel {26} 1690 ml</t>
  </si>
  <si>
    <t>d0_2347</t>
  </si>
  <si>
    <t>d0_2954</t>
  </si>
  <si>
    <t>ARIEL Gel Paket 1.8 kg</t>
  </si>
  <si>
    <t>d0_2449</t>
  </si>
  <si>
    <t>ABC Gel {Qora} 3000 ml</t>
  </si>
  <si>
    <t>d0_2450</t>
  </si>
  <si>
    <t>ARIEL Gel DUBAY 2500 ML</t>
  </si>
  <si>
    <t>d0_2465</t>
  </si>
  <si>
    <t>VERNEL Gel 2610 ml</t>
  </si>
  <si>
    <t>d0_2537</t>
  </si>
  <si>
    <t>AIR Aparat 24/7 Dubay</t>
  </si>
  <si>
    <t>2026-01-10 14:01:20</t>
  </si>
  <si>
    <t>d0_26</t>
  </si>
  <si>
    <t>d0_2693</t>
  </si>
  <si>
    <t>KOSMETIKA</t>
  </si>
  <si>
    <t>NIVEA Soft (200ml)</t>
  </si>
  <si>
    <t>d0_2835</t>
  </si>
  <si>
    <t>ALOE SKRAB 120</t>
  </si>
  <si>
    <t>d0_2845</t>
  </si>
  <si>
    <t>Clear  Shampun  1000 ml</t>
  </si>
  <si>
    <t>d0_291</t>
  </si>
  <si>
    <t>Bioaqua Nabor [Guruch]</t>
  </si>
  <si>
    <t>d0_2925</t>
  </si>
  <si>
    <t>Meidian  Qo'l  krem  30gr*5</t>
  </si>
  <si>
    <t>d0_2938</t>
  </si>
  <si>
    <t>GILLETTE Blue3 6+2 Idishli</t>
  </si>
  <si>
    <t>d0_3187</t>
  </si>
  <si>
    <t>CLEAR Dozator 650ml {MUJ}</t>
  </si>
  <si>
    <t>d0_328</t>
  </si>
  <si>
    <t>Smile beby</t>
  </si>
  <si>
    <t>SMILE BABY junbo 5*42</t>
  </si>
  <si>
    <t>2026-01-27 15:00:42</t>
  </si>
  <si>
    <t>d0_96</t>
  </si>
  <si>
    <t>d0_3433</t>
  </si>
  <si>
    <t>SMILE BABY Vlajniy salfetki 120*12 bonus</t>
  </si>
  <si>
    <t>d0_3436</t>
  </si>
  <si>
    <t>Head&amp;Shoulders Mexico 1000ml</t>
  </si>
  <si>
    <t>d0_346</t>
  </si>
  <si>
    <t>CLEAR Dozator 650ml {JEN}</t>
  </si>
  <si>
    <t>d0_412</t>
  </si>
  <si>
    <t>SEV Osvijitel spray 450ml</t>
  </si>
  <si>
    <t>2026-01-29 14:47:42</t>
  </si>
  <si>
    <t>d0_107</t>
  </si>
  <si>
    <t>d0_4258</t>
  </si>
  <si>
    <t>AKS Gel 1000ml</t>
  </si>
  <si>
    <t>d0_2970</t>
  </si>
  <si>
    <t>d0_4298</t>
  </si>
  <si>
    <t>Cif спрей 500ml Крем-пена  Антижир зашита  (бордовый)</t>
  </si>
  <si>
    <t>d0_4392</t>
  </si>
  <si>
    <t>Head&amp;Shoulders SAUDIA 1000ml</t>
  </si>
  <si>
    <t>d0_454</t>
  </si>
  <si>
    <t>SHAMPUN</t>
  </si>
  <si>
    <t>DOCTOR-S Balzam     1000 ml</t>
  </si>
  <si>
    <t>d0_590</t>
  </si>
  <si>
    <t>Head&amp;Shoulders Shampun 625 ml</t>
  </si>
  <si>
    <t>d0_772</t>
  </si>
  <si>
    <t>OLD SPICE Sovun 90 gr</t>
  </si>
  <si>
    <t>d0_817</t>
  </si>
  <si>
    <t>Bioaqua Sovun 100 gr</t>
  </si>
  <si>
    <t>d0_928</t>
  </si>
  <si>
    <t>Irish Sovun 104 gr</t>
  </si>
  <si>
    <t>d0_956</t>
  </si>
  <si>
    <t>Kimi Sovun 120 gr</t>
  </si>
  <si>
    <t>d0_973</t>
  </si>
  <si>
    <t>Lexi Sovun 140 gr</t>
  </si>
  <si>
    <t>d0_975</t>
  </si>
  <si>
    <t>Vinder</t>
  </si>
  <si>
    <t>VINDER влажные салфеки 72 шт</t>
  </si>
  <si>
    <t>2025-12-05 18:50:34</t>
  </si>
  <si>
    <t>Soliev Ibrohimjon</t>
  </si>
  <si>
    <t>d0_19</t>
  </si>
  <si>
    <t>d0_1</t>
  </si>
  <si>
    <t>d0_3001</t>
  </si>
  <si>
    <t>a7_6348</t>
  </si>
  <si>
    <t>d0_22</t>
  </si>
  <si>
    <t>Qizil Doʻkon Soliqdir Roparasi</t>
  </si>
  <si>
    <t>VINDER влажные салфеки 120 шт</t>
  </si>
  <si>
    <t>d0_23</t>
  </si>
  <si>
    <t>d0_3002</t>
  </si>
  <si>
    <t>m9_6054</t>
  </si>
  <si>
    <t>Uch Koʻprik Bozordi İchi</t>
  </si>
  <si>
    <t>SILK Sovun 90g</t>
  </si>
  <si>
    <t>2026-01-27 15:38:13</t>
  </si>
  <si>
    <t>Tojiboyev Abubakir</t>
  </si>
  <si>
    <t>d0_97</t>
  </si>
  <si>
    <t>d0_2996</t>
  </si>
  <si>
    <t>s2_1702</t>
  </si>
  <si>
    <t>d0_4508</t>
  </si>
  <si>
    <t>Bim market</t>
  </si>
  <si>
    <t>Usmonqulov Asadulloh</t>
  </si>
  <si>
    <t>d0_6</t>
  </si>
  <si>
    <t>d0_2984</t>
  </si>
  <si>
    <t>f4_5943</t>
  </si>
  <si>
    <t>guli apa parfiyum</t>
  </si>
  <si>
    <t>Xolmirzayeva Honzodaxon</t>
  </si>
  <si>
    <t>d0_24</t>
  </si>
  <si>
    <t>d0_2999</t>
  </si>
  <si>
    <t>o1_6253</t>
  </si>
  <si>
    <t>Galina Akbaraliyevna</t>
  </si>
  <si>
    <t>TIDE Parashok 450 gr avtomat</t>
  </si>
  <si>
    <t>d0_2968</t>
  </si>
  <si>
    <t>u2_4722</t>
  </si>
  <si>
    <t>d0_1623</t>
  </si>
  <si>
    <t>bim market</t>
  </si>
  <si>
    <t>Eron</t>
  </si>
  <si>
    <t>RAKHSHA Chistol 500g</t>
  </si>
  <si>
    <t>2026-01-22 16:33:53</t>
  </si>
  <si>
    <t>d0_85</t>
  </si>
  <si>
    <t>d0_2098</t>
  </si>
  <si>
    <t>2026-02-06 10:38:10</t>
  </si>
  <si>
    <t>d0_140</t>
  </si>
  <si>
    <t>ARIEL Kapsula {65}</t>
  </si>
  <si>
    <t>d0_2959</t>
  </si>
  <si>
    <t>q8_4721</t>
  </si>
  <si>
    <t>Marvarid Charxiy</t>
  </si>
  <si>
    <t>Head&amp;Shoulders Rus Pitatelniy uxod 360 ml</t>
  </si>
  <si>
    <t>d0_3000</t>
  </si>
  <si>
    <t>t1_6347</t>
  </si>
  <si>
    <t>d0_304</t>
  </si>
  <si>
    <t>Ravshan Aka Konteyner</t>
  </si>
  <si>
    <t>Head&amp;Shoulders Rus Protiv vipad volos jen 360 ml</t>
  </si>
  <si>
    <t>d0_308</t>
  </si>
  <si>
    <t>LENOR Kapsula {22]</t>
  </si>
  <si>
    <t>d0_3082</t>
  </si>
  <si>
    <t>Head&amp;Shoulders Rus Kakos 360 ml</t>
  </si>
  <si>
    <t>d0_310</t>
  </si>
  <si>
    <t>Head&amp;Shoulders Rus Limon 360 ml</t>
  </si>
  <si>
    <t>d0_311</t>
  </si>
  <si>
    <t>Head&amp;Shoulders Rus Osnovnoy uxod 2&amp;1 360 ml</t>
  </si>
  <si>
    <t>d0_312</t>
  </si>
  <si>
    <t>PANTENE Russ {Zashita ot poteri} 400ml</t>
  </si>
  <si>
    <t>d0_602</t>
  </si>
  <si>
    <t>PANTENE Russ 400ml {Intenseve i vostanovlenie}</t>
  </si>
  <si>
    <t>d0_665</t>
  </si>
  <si>
    <t>GARNIER Fructis shampun 400g</t>
  </si>
  <si>
    <t>2026-01-11 21:24:34</t>
  </si>
  <si>
    <t>Xolmuxamedova Ziroatxon</t>
  </si>
  <si>
    <t>d0_25</t>
  </si>
  <si>
    <t>d0_35</t>
  </si>
  <si>
    <t>d0_2979</t>
  </si>
  <si>
    <t>b4_5784</t>
  </si>
  <si>
    <t>d0_155</t>
  </si>
  <si>
    <t>d0_2961</t>
  </si>
  <si>
    <t>y9_683</t>
  </si>
  <si>
    <t>Marvarid Dangara</t>
  </si>
  <si>
    <t>PERSIL Parashok Premium 5 kg</t>
  </si>
  <si>
    <t>d0_1649</t>
  </si>
  <si>
    <t>Pemos Parashok 350 gr</t>
  </si>
  <si>
    <t>d0_2971</t>
  </si>
  <si>
    <t>k4_4723</t>
  </si>
  <si>
    <t>d0_1689</t>
  </si>
  <si>
    <t>ASS Toshkent ASS</t>
  </si>
  <si>
    <t>2026-01-28 15:13:52</t>
  </si>
  <si>
    <t>d0_100</t>
  </si>
  <si>
    <t>d0_1983</t>
  </si>
  <si>
    <t>BELIZNA Russ Belizna</t>
  </si>
  <si>
    <t>2026-01-24 12:50:44</t>
  </si>
  <si>
    <t>d0_87</t>
  </si>
  <si>
    <t>d0_1986</t>
  </si>
  <si>
    <t>BREF Kubik .</t>
  </si>
  <si>
    <t>d0_2064</t>
  </si>
  <si>
    <t>PERSIL Gel ko'k 2.7 L</t>
  </si>
  <si>
    <t>d0_2444</t>
  </si>
  <si>
    <t>Loris Okean 100 ml</t>
  </si>
  <si>
    <t>d0_2716</t>
  </si>
  <si>
    <t>Loris Shaftoli 100 ml</t>
  </si>
  <si>
    <t>d0_2726</t>
  </si>
  <si>
    <t>Loris Ananas 100 ml</t>
  </si>
  <si>
    <t>d0_2729</t>
  </si>
  <si>
    <t>PERSIL Gel ERON {1.1}</t>
  </si>
  <si>
    <t>d0_3199</t>
  </si>
  <si>
    <t>Bavi Otbelivitel 350</t>
  </si>
  <si>
    <t>2026-01-08 11:59:06</t>
  </si>
  <si>
    <t>d0_4383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</si>
</sst>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10" fontId="1" fillId="3" borderId="1" xfId="0" applyNumberFormat="1" applyFont="1" applyFill="1" applyBorder="1" applyAlignment="1">
      <alignment vertical="center" wrapText="1"/>
    </xf>
    <xf numFmtId="4" fontId="1" fillId="3" borderId="1" xfId="0" applyNumberFormat="1" applyFont="1" applyFill="1" applyBorder="1" applyAlignment="1">
      <alignment vertical="center" wrapText="1"/>
    </xf>
    <xf numFmtId="0" fontId="0" fillId="0" borderId="1" xfId="0" applyBorder="1"/>
    <xf numFmtId="0" fontId="1" fillId="3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0"/>
  <sheetViews>
    <sheetView tabSelected="1" workbookViewId="0">
      <selection activeCell="A2" sqref="A2"/>
    </sheetView>
  </sheetViews>
  <sheetFormatPr defaultColWidth="15" defaultRowHeight="14.4" x14ac:dyDescent="0.3"/>
  <cols>
    <col min="1" max="1" width="21.88671875" customWidth="1"/>
    <col min="2" max="2" width="23.109375" customWidth="1"/>
    <col min="3" max="3" width="27.109375" customWidth="1"/>
    <col min="4" max="4" width="13.5546875" customWidth="1"/>
    <col min="5" max="5" width="19.88671875" customWidth="1"/>
    <col min="6" max="7" width="13.5546875" customWidth="1"/>
    <col min="8" max="8" width="22.6640625" customWidth="1"/>
    <col min="9" max="9" width="22.44140625" customWidth="1"/>
    <col min="10" max="10" width="18" customWidth="1"/>
    <col min="11" max="11" width="17.6640625" customWidth="1"/>
    <col min="12" max="12" width="16" customWidth="1"/>
    <col min="13" max="13" width="17.6640625" customWidth="1"/>
    <col min="14" max="14" width="17.44140625" customWidth="1"/>
    <col min="15" max="15" width="21.6640625" customWidth="1"/>
    <col min="16" max="16" width="13.5546875" customWidth="1"/>
    <col min="17" max="17" width="26.6640625" customWidth="1"/>
    <col min="18" max="18" width="26.44140625" customWidth="1"/>
    <col min="19" max="19" width="24" customWidth="1"/>
    <col min="20" max="20" width="23.88671875" customWidth="1"/>
    <col min="21" max="21" width="14" customWidth="1"/>
    <col min="22" max="22" width="20" customWidth="1"/>
    <col min="23" max="23" width="19.664062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 t="s">
        <v>462</v>
      </c>
      <c r="B2" s="2" t="s">
        <v>530</v>
      </c>
      <c r="C2" s="2" t="s">
        <v>25</v>
      </c>
      <c r="D2" s="3">
        <f>G2/E2</f>
        <v>0.11889925410202054</v>
      </c>
      <c r="E2" s="4">
        <f>J2*L2</f>
        <v>15.677</v>
      </c>
      <c r="F2" s="4">
        <f>K2*L2</f>
        <v>17.540983606557376</v>
      </c>
      <c r="G2" s="4">
        <f>F2-E2</f>
        <v>1.863983606557376</v>
      </c>
      <c r="H2" s="2" t="s">
        <v>26</v>
      </c>
      <c r="I2" s="2" t="s">
        <v>27</v>
      </c>
      <c r="J2" s="4">
        <v>15.677</v>
      </c>
      <c r="K2" s="4">
        <v>17.540983606557376</v>
      </c>
      <c r="L2" s="4">
        <v>1</v>
      </c>
      <c r="M2" s="2" t="s">
        <v>55</v>
      </c>
      <c r="N2" s="2" t="s">
        <v>29</v>
      </c>
      <c r="O2" s="2" t="s">
        <v>500</v>
      </c>
      <c r="P2" s="2" t="s">
        <v>56</v>
      </c>
      <c r="Q2" s="2" t="s">
        <v>56</v>
      </c>
      <c r="R2" s="2" t="s">
        <v>531</v>
      </c>
      <c r="T2" s="2" t="s">
        <v>532</v>
      </c>
      <c r="U2" s="2" t="s">
        <v>533</v>
      </c>
      <c r="W2" s="2" t="s">
        <v>534</v>
      </c>
    </row>
    <row r="3" spans="1:23" x14ac:dyDescent="0.3">
      <c r="A3" s="2" t="s">
        <v>462</v>
      </c>
      <c r="B3" s="2" t="s">
        <v>530</v>
      </c>
      <c r="C3" s="2" t="s">
        <v>25</v>
      </c>
      <c r="D3" s="3">
        <f t="shared" ref="D3:D66" si="0">G3/E3</f>
        <v>0.11889925410202054</v>
      </c>
      <c r="E3" s="4">
        <f t="shared" ref="E3:E66" si="1">J3*L3</f>
        <v>94.061999999999998</v>
      </c>
      <c r="F3" s="4">
        <f t="shared" ref="F3:F66" si="2">K3*L3</f>
        <v>105.24590163934425</v>
      </c>
      <c r="G3" s="4">
        <f t="shared" ref="G3:G66" si="3">F3-E3</f>
        <v>11.183901639344256</v>
      </c>
      <c r="H3" s="2" t="s">
        <v>26</v>
      </c>
      <c r="I3" s="2" t="s">
        <v>27</v>
      </c>
      <c r="J3" s="4">
        <v>15.677</v>
      </c>
      <c r="K3" s="4">
        <v>17.540983606557376</v>
      </c>
      <c r="L3" s="4">
        <v>6</v>
      </c>
      <c r="M3" s="2" t="s">
        <v>55</v>
      </c>
      <c r="N3" s="2" t="s">
        <v>29</v>
      </c>
      <c r="O3" s="2" t="s">
        <v>500</v>
      </c>
      <c r="P3" s="2" t="s">
        <v>56</v>
      </c>
      <c r="Q3" s="2" t="s">
        <v>56</v>
      </c>
      <c r="R3" s="2" t="s">
        <v>502</v>
      </c>
      <c r="T3" s="2" t="s">
        <v>503</v>
      </c>
      <c r="U3" s="2" t="s">
        <v>533</v>
      </c>
      <c r="W3" s="2" t="s">
        <v>505</v>
      </c>
    </row>
    <row r="4" spans="1:23" x14ac:dyDescent="0.3">
      <c r="A4" s="2" t="s">
        <v>357</v>
      </c>
      <c r="B4" s="2" t="s">
        <v>568</v>
      </c>
      <c r="C4" s="2" t="s">
        <v>25</v>
      </c>
      <c r="D4" s="3">
        <f t="shared" si="0"/>
        <v>0.12911300716880239</v>
      </c>
      <c r="E4" s="4">
        <f t="shared" si="1"/>
        <v>15.39</v>
      </c>
      <c r="F4" s="4">
        <f t="shared" si="2"/>
        <v>17.377049180327869</v>
      </c>
      <c r="G4" s="4">
        <f t="shared" si="3"/>
        <v>1.9870491803278689</v>
      </c>
      <c r="H4" s="2" t="s">
        <v>26</v>
      </c>
      <c r="I4" s="2" t="s">
        <v>27</v>
      </c>
      <c r="J4" s="4">
        <v>15.39</v>
      </c>
      <c r="K4" s="4">
        <v>17.377049180327869</v>
      </c>
      <c r="L4" s="4">
        <v>1</v>
      </c>
      <c r="M4" s="2" t="s">
        <v>243</v>
      </c>
      <c r="N4" s="2" t="s">
        <v>29</v>
      </c>
      <c r="O4" s="2" t="s">
        <v>554</v>
      </c>
      <c r="P4" s="2" t="s">
        <v>63</v>
      </c>
      <c r="Q4" s="2" t="s">
        <v>244</v>
      </c>
      <c r="R4" s="2" t="s">
        <v>562</v>
      </c>
      <c r="T4" s="2" t="s">
        <v>556</v>
      </c>
      <c r="U4" s="2" t="s">
        <v>569</v>
      </c>
      <c r="W4" s="2" t="s">
        <v>557</v>
      </c>
    </row>
    <row r="5" spans="1:23" x14ac:dyDescent="0.3">
      <c r="A5" s="2" t="s">
        <v>357</v>
      </c>
      <c r="B5" s="2" t="s">
        <v>692</v>
      </c>
      <c r="C5" s="2" t="s">
        <v>25</v>
      </c>
      <c r="D5" s="3">
        <f t="shared" si="0"/>
        <v>0.13817854717015771</v>
      </c>
      <c r="E5" s="4">
        <f t="shared" si="1"/>
        <v>160.74</v>
      </c>
      <c r="F5" s="4">
        <f t="shared" si="2"/>
        <v>182.95081967213116</v>
      </c>
      <c r="G5" s="4">
        <f t="shared" si="3"/>
        <v>22.210819672131151</v>
      </c>
      <c r="H5" s="2" t="s">
        <v>26</v>
      </c>
      <c r="I5" s="2" t="s">
        <v>27</v>
      </c>
      <c r="J5" s="4">
        <v>13.395</v>
      </c>
      <c r="K5" s="4">
        <v>15.245901639344263</v>
      </c>
      <c r="L5" s="4">
        <v>12</v>
      </c>
      <c r="M5" s="2" t="s">
        <v>373</v>
      </c>
      <c r="N5" s="2" t="s">
        <v>29</v>
      </c>
      <c r="O5" s="2" t="s">
        <v>675</v>
      </c>
      <c r="P5" s="2" t="s">
        <v>676</v>
      </c>
      <c r="Q5" s="2" t="s">
        <v>374</v>
      </c>
      <c r="R5" s="2" t="s">
        <v>693</v>
      </c>
      <c r="T5" s="2" t="s">
        <v>694</v>
      </c>
      <c r="U5" s="2" t="s">
        <v>314</v>
      </c>
      <c r="W5" s="2" t="s">
        <v>695</v>
      </c>
    </row>
    <row r="6" spans="1:23" x14ac:dyDescent="0.3">
      <c r="A6" s="2" t="s">
        <v>283</v>
      </c>
      <c r="B6" s="2" t="s">
        <v>284</v>
      </c>
      <c r="C6" s="2" t="s">
        <v>25</v>
      </c>
      <c r="D6" s="3">
        <f t="shared" si="0"/>
        <v>0.12781954887218039</v>
      </c>
      <c r="E6" s="4">
        <f t="shared" si="1"/>
        <v>13.3</v>
      </c>
      <c r="F6" s="4">
        <f t="shared" si="2"/>
        <v>15</v>
      </c>
      <c r="G6" s="4">
        <f t="shared" si="3"/>
        <v>1.6999999999999993</v>
      </c>
      <c r="H6" s="2" t="s">
        <v>26</v>
      </c>
      <c r="I6" s="2" t="s">
        <v>27</v>
      </c>
      <c r="J6" s="4">
        <v>13.3</v>
      </c>
      <c r="K6" s="4">
        <v>15</v>
      </c>
      <c r="L6" s="4">
        <v>1</v>
      </c>
      <c r="M6" s="2" t="s">
        <v>285</v>
      </c>
      <c r="N6" s="2" t="s">
        <v>29</v>
      </c>
      <c r="O6" s="2" t="s">
        <v>160</v>
      </c>
      <c r="P6" s="2" t="s">
        <v>161</v>
      </c>
      <c r="Q6" s="2" t="s">
        <v>286</v>
      </c>
      <c r="R6" s="2" t="s">
        <v>229</v>
      </c>
      <c r="T6" s="2" t="s">
        <v>230</v>
      </c>
      <c r="U6" s="2" t="s">
        <v>287</v>
      </c>
      <c r="W6" s="2" t="s">
        <v>232</v>
      </c>
    </row>
    <row r="7" spans="1:23" x14ac:dyDescent="0.3">
      <c r="A7" s="2" t="s">
        <v>283</v>
      </c>
      <c r="B7" s="2" t="s">
        <v>284</v>
      </c>
      <c r="C7" s="2" t="s">
        <v>25</v>
      </c>
      <c r="D7" s="3">
        <f t="shared" si="0"/>
        <v>0.12781954887218039</v>
      </c>
      <c r="E7" s="4">
        <f t="shared" si="1"/>
        <v>26.6</v>
      </c>
      <c r="F7" s="4">
        <f t="shared" si="2"/>
        <v>30</v>
      </c>
      <c r="G7" s="4">
        <f t="shared" si="3"/>
        <v>3.3999999999999986</v>
      </c>
      <c r="H7" s="2" t="s">
        <v>26</v>
      </c>
      <c r="I7" s="2" t="s">
        <v>27</v>
      </c>
      <c r="J7" s="4">
        <v>13.3</v>
      </c>
      <c r="K7" s="4">
        <v>15</v>
      </c>
      <c r="L7" s="4">
        <v>2</v>
      </c>
      <c r="M7" s="2" t="s">
        <v>285</v>
      </c>
      <c r="N7" s="2" t="s">
        <v>29</v>
      </c>
      <c r="O7" s="2" t="s">
        <v>160</v>
      </c>
      <c r="P7" s="2" t="s">
        <v>161</v>
      </c>
      <c r="Q7" s="2" t="s">
        <v>286</v>
      </c>
      <c r="R7" s="2" t="s">
        <v>288</v>
      </c>
      <c r="T7" s="2" t="s">
        <v>289</v>
      </c>
      <c r="U7" s="2" t="s">
        <v>287</v>
      </c>
      <c r="W7" s="2" t="s">
        <v>290</v>
      </c>
    </row>
    <row r="8" spans="1:23" x14ac:dyDescent="0.3">
      <c r="A8" s="2" t="s">
        <v>283</v>
      </c>
      <c r="B8" s="2" t="s">
        <v>284</v>
      </c>
      <c r="C8" s="2" t="s">
        <v>25</v>
      </c>
      <c r="D8" s="3">
        <f t="shared" si="0"/>
        <v>0.12781954887218028</v>
      </c>
      <c r="E8" s="4">
        <f t="shared" si="1"/>
        <v>79.800000000000011</v>
      </c>
      <c r="F8" s="4">
        <f t="shared" si="2"/>
        <v>90</v>
      </c>
      <c r="G8" s="4">
        <f t="shared" si="3"/>
        <v>10.199999999999989</v>
      </c>
      <c r="H8" s="2" t="s">
        <v>26</v>
      </c>
      <c r="I8" s="2" t="s">
        <v>27</v>
      </c>
      <c r="J8" s="4">
        <v>13.3</v>
      </c>
      <c r="K8" s="4">
        <v>15</v>
      </c>
      <c r="L8" s="4">
        <v>6</v>
      </c>
      <c r="M8" s="2" t="s">
        <v>285</v>
      </c>
      <c r="N8" s="2" t="s">
        <v>29</v>
      </c>
      <c r="O8" s="2" t="s">
        <v>675</v>
      </c>
      <c r="P8" s="2" t="s">
        <v>676</v>
      </c>
      <c r="Q8" s="2" t="s">
        <v>286</v>
      </c>
      <c r="R8" s="2" t="s">
        <v>693</v>
      </c>
      <c r="T8" s="2" t="s">
        <v>694</v>
      </c>
      <c r="U8" s="2" t="s">
        <v>287</v>
      </c>
      <c r="W8" s="2" t="s">
        <v>695</v>
      </c>
    </row>
    <row r="9" spans="1:23" x14ac:dyDescent="0.3">
      <c r="A9" s="2" t="s">
        <v>249</v>
      </c>
      <c r="B9" s="2" t="s">
        <v>726</v>
      </c>
      <c r="C9" s="2" t="s">
        <v>25</v>
      </c>
      <c r="D9" s="3">
        <f t="shared" si="0"/>
        <v>0.19344262295081968</v>
      </c>
      <c r="E9" s="4">
        <f t="shared" si="1"/>
        <v>62.5</v>
      </c>
      <c r="F9" s="4">
        <f t="shared" si="2"/>
        <v>74.590163934426229</v>
      </c>
      <c r="G9" s="4">
        <f t="shared" si="3"/>
        <v>12.090163934426229</v>
      </c>
      <c r="H9" s="2" t="s">
        <v>26</v>
      </c>
      <c r="I9" s="2" t="s">
        <v>27</v>
      </c>
      <c r="J9" s="4">
        <v>12.5</v>
      </c>
      <c r="K9" s="4">
        <v>14.918032786885245</v>
      </c>
      <c r="L9" s="4">
        <v>5</v>
      </c>
      <c r="M9" s="2" t="s">
        <v>251</v>
      </c>
      <c r="N9" s="2" t="s">
        <v>29</v>
      </c>
      <c r="O9" s="2" t="s">
        <v>717</v>
      </c>
      <c r="P9" s="2" t="s">
        <v>718</v>
      </c>
      <c r="Q9" s="2" t="s">
        <v>252</v>
      </c>
      <c r="R9" s="2" t="s">
        <v>723</v>
      </c>
      <c r="T9" s="2" t="s">
        <v>724</v>
      </c>
      <c r="U9" s="2" t="s">
        <v>727</v>
      </c>
      <c r="W9" s="2" t="s">
        <v>725</v>
      </c>
    </row>
    <row r="10" spans="1:23" x14ac:dyDescent="0.3">
      <c r="A10" s="2" t="s">
        <v>249</v>
      </c>
      <c r="B10" s="2" t="s">
        <v>383</v>
      </c>
      <c r="C10" s="2" t="s">
        <v>25</v>
      </c>
      <c r="D10" s="3">
        <f t="shared" si="0"/>
        <v>0.21311475409836078</v>
      </c>
      <c r="E10" s="4">
        <f t="shared" si="1"/>
        <v>37.5</v>
      </c>
      <c r="F10" s="4">
        <f t="shared" si="2"/>
        <v>45.491803278688529</v>
      </c>
      <c r="G10" s="4">
        <f t="shared" si="3"/>
        <v>7.9918032786885291</v>
      </c>
      <c r="H10" s="2" t="s">
        <v>26</v>
      </c>
      <c r="I10" s="2" t="s">
        <v>27</v>
      </c>
      <c r="J10" s="4">
        <v>7.5</v>
      </c>
      <c r="K10" s="4">
        <v>9.0983606557377055</v>
      </c>
      <c r="L10" s="4">
        <v>5</v>
      </c>
      <c r="M10" s="2" t="s">
        <v>251</v>
      </c>
      <c r="N10" s="2" t="s">
        <v>29</v>
      </c>
      <c r="O10" s="2" t="s">
        <v>717</v>
      </c>
      <c r="P10" s="2" t="s">
        <v>718</v>
      </c>
      <c r="Q10" s="2" t="s">
        <v>252</v>
      </c>
      <c r="R10" s="2" t="s">
        <v>723</v>
      </c>
      <c r="T10" s="2" t="s">
        <v>724</v>
      </c>
      <c r="U10" s="2" t="s">
        <v>384</v>
      </c>
      <c r="W10" s="2" t="s">
        <v>725</v>
      </c>
    </row>
    <row r="11" spans="1:23" x14ac:dyDescent="0.3">
      <c r="A11" s="2" t="s">
        <v>23</v>
      </c>
      <c r="B11" s="2" t="s">
        <v>65</v>
      </c>
      <c r="C11" s="2" t="s">
        <v>25</v>
      </c>
      <c r="D11" s="3">
        <f t="shared" si="0"/>
        <v>2.3405666635079966E-2</v>
      </c>
      <c r="E11" s="4">
        <f t="shared" si="1"/>
        <v>25.950000000000003</v>
      </c>
      <c r="F11" s="4">
        <f t="shared" si="2"/>
        <v>26.557377049180328</v>
      </c>
      <c r="G11" s="4">
        <f t="shared" si="3"/>
        <v>0.6073770491803252</v>
      </c>
      <c r="H11" s="2" t="s">
        <v>26</v>
      </c>
      <c r="I11" s="2" t="s">
        <v>27</v>
      </c>
      <c r="J11" s="4">
        <v>8.65</v>
      </c>
      <c r="K11" s="4">
        <v>8.8524590163934427</v>
      </c>
      <c r="L11" s="4">
        <v>3</v>
      </c>
      <c r="M11" s="2" t="s">
        <v>66</v>
      </c>
      <c r="N11" s="2" t="s">
        <v>29</v>
      </c>
      <c r="O11" s="2" t="s">
        <v>30</v>
      </c>
      <c r="P11" s="2" t="s">
        <v>31</v>
      </c>
      <c r="Q11" s="2" t="s">
        <v>67</v>
      </c>
      <c r="R11" s="2" t="s">
        <v>68</v>
      </c>
      <c r="T11" s="2" t="s">
        <v>69</v>
      </c>
      <c r="U11" s="2" t="s">
        <v>70</v>
      </c>
      <c r="W11" s="2" t="s">
        <v>71</v>
      </c>
    </row>
    <row r="12" spans="1:23" x14ac:dyDescent="0.3">
      <c r="A12" s="2" t="s">
        <v>23</v>
      </c>
      <c r="B12" s="2" t="s">
        <v>72</v>
      </c>
      <c r="C12" s="2" t="s">
        <v>25</v>
      </c>
      <c r="D12" s="3">
        <f t="shared" si="0"/>
        <v>2.3405666635079966E-2</v>
      </c>
      <c r="E12" s="4">
        <f t="shared" si="1"/>
        <v>25.950000000000003</v>
      </c>
      <c r="F12" s="4">
        <f t="shared" si="2"/>
        <v>26.557377049180328</v>
      </c>
      <c r="G12" s="4">
        <f t="shared" si="3"/>
        <v>0.6073770491803252</v>
      </c>
      <c r="H12" s="2" t="s">
        <v>26</v>
      </c>
      <c r="I12" s="2" t="s">
        <v>27</v>
      </c>
      <c r="J12" s="4">
        <v>8.65</v>
      </c>
      <c r="K12" s="4">
        <v>8.8524590163934427</v>
      </c>
      <c r="L12" s="4">
        <v>3</v>
      </c>
      <c r="M12" s="2" t="s">
        <v>62</v>
      </c>
      <c r="N12" s="2" t="s">
        <v>29</v>
      </c>
      <c r="O12" s="2" t="s">
        <v>30</v>
      </c>
      <c r="P12" s="2" t="s">
        <v>31</v>
      </c>
      <c r="Q12" s="2" t="s">
        <v>63</v>
      </c>
      <c r="R12" s="2" t="s">
        <v>68</v>
      </c>
      <c r="T12" s="2" t="s">
        <v>69</v>
      </c>
      <c r="U12" s="2" t="s">
        <v>73</v>
      </c>
      <c r="W12" s="2" t="s">
        <v>71</v>
      </c>
    </row>
    <row r="13" spans="1:23" ht="20.399999999999999" x14ac:dyDescent="0.3">
      <c r="A13" s="2" t="s">
        <v>23</v>
      </c>
      <c r="B13" s="2" t="s">
        <v>72</v>
      </c>
      <c r="C13" s="2" t="s">
        <v>25</v>
      </c>
      <c r="D13" s="3">
        <f t="shared" si="0"/>
        <v>2.3405666635080036E-2</v>
      </c>
      <c r="E13" s="4">
        <f t="shared" si="1"/>
        <v>8.65</v>
      </c>
      <c r="F13" s="4">
        <f t="shared" si="2"/>
        <v>8.8524590163934427</v>
      </c>
      <c r="G13" s="4">
        <f t="shared" si="3"/>
        <v>0.20245901639344233</v>
      </c>
      <c r="H13" s="2" t="s">
        <v>26</v>
      </c>
      <c r="I13" s="2" t="s">
        <v>27</v>
      </c>
      <c r="J13" s="4">
        <v>8.65</v>
      </c>
      <c r="K13" s="4">
        <v>8.8524590163934427</v>
      </c>
      <c r="L13" s="4">
        <v>1</v>
      </c>
      <c r="M13" s="2" t="s">
        <v>62</v>
      </c>
      <c r="N13" s="2" t="s">
        <v>29</v>
      </c>
      <c r="O13" s="2" t="s">
        <v>30</v>
      </c>
      <c r="P13" s="2" t="s">
        <v>31</v>
      </c>
      <c r="Q13" s="2" t="s">
        <v>63</v>
      </c>
      <c r="R13" s="2" t="s">
        <v>74</v>
      </c>
      <c r="T13" s="2" t="s">
        <v>75</v>
      </c>
      <c r="U13" s="2" t="s">
        <v>73</v>
      </c>
      <c r="W13" s="2" t="s">
        <v>76</v>
      </c>
    </row>
    <row r="14" spans="1:23" x14ac:dyDescent="0.3">
      <c r="A14" s="2" t="s">
        <v>23</v>
      </c>
      <c r="B14" s="2" t="s">
        <v>85</v>
      </c>
      <c r="C14" s="2" t="s">
        <v>25</v>
      </c>
      <c r="D14" s="3">
        <f t="shared" si="0"/>
        <v>2.3405666635080036E-2</v>
      </c>
      <c r="E14" s="4">
        <f t="shared" si="1"/>
        <v>17.3</v>
      </c>
      <c r="F14" s="4">
        <f t="shared" si="2"/>
        <v>17.704918032786885</v>
      </c>
      <c r="G14" s="4">
        <f t="shared" si="3"/>
        <v>0.40491803278688465</v>
      </c>
      <c r="H14" s="2" t="s">
        <v>26</v>
      </c>
      <c r="I14" s="2" t="s">
        <v>27</v>
      </c>
      <c r="J14" s="4">
        <v>8.65</v>
      </c>
      <c r="K14" s="4">
        <v>8.8524590163934427</v>
      </c>
      <c r="L14" s="4">
        <v>2</v>
      </c>
      <c r="M14" s="2" t="s">
        <v>66</v>
      </c>
      <c r="N14" s="2" t="s">
        <v>29</v>
      </c>
      <c r="O14" s="2" t="s">
        <v>30</v>
      </c>
      <c r="P14" s="2" t="s">
        <v>31</v>
      </c>
      <c r="Q14" s="2" t="s">
        <v>67</v>
      </c>
      <c r="R14" s="2" t="s">
        <v>86</v>
      </c>
      <c r="T14" s="2" t="s">
        <v>87</v>
      </c>
      <c r="U14" s="2" t="s">
        <v>88</v>
      </c>
      <c r="W14" s="2" t="s">
        <v>89</v>
      </c>
    </row>
    <row r="15" spans="1:23" ht="20.399999999999999" x14ac:dyDescent="0.3">
      <c r="A15" s="2" t="s">
        <v>23</v>
      </c>
      <c r="B15" s="2" t="s">
        <v>85</v>
      </c>
      <c r="C15" s="2" t="s">
        <v>25</v>
      </c>
      <c r="D15" s="3">
        <f t="shared" si="0"/>
        <v>2.3405666635080036E-2</v>
      </c>
      <c r="E15" s="4">
        <f t="shared" si="1"/>
        <v>8.65</v>
      </c>
      <c r="F15" s="4">
        <f t="shared" si="2"/>
        <v>8.8524590163934427</v>
      </c>
      <c r="G15" s="4">
        <f t="shared" si="3"/>
        <v>0.20245901639344233</v>
      </c>
      <c r="H15" s="2" t="s">
        <v>26</v>
      </c>
      <c r="I15" s="2" t="s">
        <v>27</v>
      </c>
      <c r="J15" s="4">
        <v>8.65</v>
      </c>
      <c r="K15" s="4">
        <v>8.8524590163934427</v>
      </c>
      <c r="L15" s="4">
        <v>1</v>
      </c>
      <c r="M15" s="2" t="s">
        <v>66</v>
      </c>
      <c r="N15" s="2" t="s">
        <v>29</v>
      </c>
      <c r="O15" s="2" t="s">
        <v>30</v>
      </c>
      <c r="P15" s="2" t="s">
        <v>31</v>
      </c>
      <c r="Q15" s="2" t="s">
        <v>67</v>
      </c>
      <c r="R15" s="2" t="s">
        <v>74</v>
      </c>
      <c r="T15" s="2" t="s">
        <v>75</v>
      </c>
      <c r="U15" s="2" t="s">
        <v>88</v>
      </c>
      <c r="W15" s="2" t="s">
        <v>76</v>
      </c>
    </row>
    <row r="16" spans="1:23" x14ac:dyDescent="0.3">
      <c r="A16" s="2" t="s">
        <v>23</v>
      </c>
      <c r="B16" s="2" t="s">
        <v>85</v>
      </c>
      <c r="C16" s="2" t="s">
        <v>25</v>
      </c>
      <c r="D16" s="3">
        <f t="shared" si="0"/>
        <v>2.3405666635080036E-2</v>
      </c>
      <c r="E16" s="4">
        <f t="shared" si="1"/>
        <v>69.2</v>
      </c>
      <c r="F16" s="4">
        <f t="shared" si="2"/>
        <v>70.819672131147541</v>
      </c>
      <c r="G16" s="4">
        <f t="shared" si="3"/>
        <v>1.6196721311475386</v>
      </c>
      <c r="H16" s="2" t="s">
        <v>26</v>
      </c>
      <c r="I16" s="2" t="s">
        <v>27</v>
      </c>
      <c r="J16" s="4">
        <v>8.65</v>
      </c>
      <c r="K16" s="4">
        <v>8.8524590163934427</v>
      </c>
      <c r="L16" s="4">
        <v>8</v>
      </c>
      <c r="M16" s="2" t="s">
        <v>66</v>
      </c>
      <c r="N16" s="2" t="s">
        <v>29</v>
      </c>
      <c r="O16" s="2" t="s">
        <v>30</v>
      </c>
      <c r="P16" s="2" t="s">
        <v>31</v>
      </c>
      <c r="Q16" s="2" t="s">
        <v>67</v>
      </c>
      <c r="R16" s="2" t="s">
        <v>57</v>
      </c>
      <c r="T16" s="2" t="s">
        <v>58</v>
      </c>
      <c r="U16" s="2" t="s">
        <v>88</v>
      </c>
      <c r="W16" s="2" t="s">
        <v>60</v>
      </c>
    </row>
    <row r="17" spans="1:23" x14ac:dyDescent="0.3">
      <c r="A17" s="2" t="s">
        <v>23</v>
      </c>
      <c r="B17" s="2" t="s">
        <v>85</v>
      </c>
      <c r="C17" s="2" t="s">
        <v>25</v>
      </c>
      <c r="D17" s="3">
        <f t="shared" si="0"/>
        <v>2.3405666635080036E-2</v>
      </c>
      <c r="E17" s="4">
        <f t="shared" si="1"/>
        <v>8.65</v>
      </c>
      <c r="F17" s="4">
        <f t="shared" si="2"/>
        <v>8.8524590163934427</v>
      </c>
      <c r="G17" s="4">
        <f t="shared" si="3"/>
        <v>0.20245901639344233</v>
      </c>
      <c r="H17" s="2" t="s">
        <v>26</v>
      </c>
      <c r="I17" s="2" t="s">
        <v>27</v>
      </c>
      <c r="J17" s="4">
        <v>8.65</v>
      </c>
      <c r="K17" s="4">
        <v>8.8524590163934427</v>
      </c>
      <c r="L17" s="4">
        <v>1</v>
      </c>
      <c r="M17" s="2" t="s">
        <v>66</v>
      </c>
      <c r="N17" s="2" t="s">
        <v>29</v>
      </c>
      <c r="O17" s="2" t="s">
        <v>30</v>
      </c>
      <c r="P17" s="2" t="s">
        <v>31</v>
      </c>
      <c r="Q17" s="2" t="s">
        <v>67</v>
      </c>
      <c r="R17" s="2" t="s">
        <v>79</v>
      </c>
      <c r="T17" s="2" t="s">
        <v>80</v>
      </c>
      <c r="U17" s="2" t="s">
        <v>88</v>
      </c>
      <c r="W17" s="2" t="s">
        <v>81</v>
      </c>
    </row>
    <row r="18" spans="1:23" x14ac:dyDescent="0.3">
      <c r="A18" s="2" t="s">
        <v>23</v>
      </c>
      <c r="B18" s="2" t="s">
        <v>90</v>
      </c>
      <c r="C18" s="2" t="s">
        <v>25</v>
      </c>
      <c r="D18" s="3">
        <f t="shared" si="0"/>
        <v>2.3405666635080036E-2</v>
      </c>
      <c r="E18" s="4">
        <f t="shared" si="1"/>
        <v>17.3</v>
      </c>
      <c r="F18" s="4">
        <f t="shared" si="2"/>
        <v>17.704918032786885</v>
      </c>
      <c r="G18" s="4">
        <f t="shared" si="3"/>
        <v>0.40491803278688465</v>
      </c>
      <c r="H18" s="2" t="s">
        <v>26</v>
      </c>
      <c r="I18" s="2" t="s">
        <v>27</v>
      </c>
      <c r="J18" s="4">
        <v>8.65</v>
      </c>
      <c r="K18" s="4">
        <v>8.8524590163934427</v>
      </c>
      <c r="L18" s="4">
        <v>2</v>
      </c>
      <c r="M18" s="2" t="s">
        <v>62</v>
      </c>
      <c r="N18" s="2" t="s">
        <v>29</v>
      </c>
      <c r="O18" s="2" t="s">
        <v>30</v>
      </c>
      <c r="P18" s="2" t="s">
        <v>31</v>
      </c>
      <c r="Q18" s="2" t="s">
        <v>63</v>
      </c>
      <c r="R18" s="2" t="s">
        <v>86</v>
      </c>
      <c r="T18" s="2" t="s">
        <v>87</v>
      </c>
      <c r="U18" s="2" t="s">
        <v>91</v>
      </c>
      <c r="W18" s="2" t="s">
        <v>89</v>
      </c>
    </row>
    <row r="19" spans="1:23" x14ac:dyDescent="0.3">
      <c r="A19" s="2" t="s">
        <v>23</v>
      </c>
      <c r="B19" s="2" t="s">
        <v>90</v>
      </c>
      <c r="C19" s="2" t="s">
        <v>25</v>
      </c>
      <c r="D19" s="3">
        <f t="shared" si="0"/>
        <v>2.3405666635080036E-2</v>
      </c>
      <c r="E19" s="4">
        <f t="shared" si="1"/>
        <v>138.4</v>
      </c>
      <c r="F19" s="4">
        <f t="shared" si="2"/>
        <v>141.63934426229508</v>
      </c>
      <c r="G19" s="4">
        <f t="shared" si="3"/>
        <v>3.2393442622950772</v>
      </c>
      <c r="H19" s="2" t="s">
        <v>26</v>
      </c>
      <c r="I19" s="2" t="s">
        <v>27</v>
      </c>
      <c r="J19" s="4">
        <v>8.65</v>
      </c>
      <c r="K19" s="4">
        <v>8.8524590163934427</v>
      </c>
      <c r="L19" s="4">
        <v>16</v>
      </c>
      <c r="M19" s="2" t="s">
        <v>62</v>
      </c>
      <c r="N19" s="2" t="s">
        <v>29</v>
      </c>
      <c r="O19" s="2" t="s">
        <v>30</v>
      </c>
      <c r="P19" s="2" t="s">
        <v>31</v>
      </c>
      <c r="Q19" s="2" t="s">
        <v>63</v>
      </c>
      <c r="R19" s="2" t="s">
        <v>57</v>
      </c>
      <c r="T19" s="2" t="s">
        <v>58</v>
      </c>
      <c r="U19" s="2" t="s">
        <v>91</v>
      </c>
      <c r="W19" s="2" t="s">
        <v>60</v>
      </c>
    </row>
    <row r="20" spans="1:23" x14ac:dyDescent="0.3">
      <c r="A20" s="2" t="s">
        <v>23</v>
      </c>
      <c r="B20" s="2" t="s">
        <v>90</v>
      </c>
      <c r="C20" s="2" t="s">
        <v>25</v>
      </c>
      <c r="D20" s="3">
        <f t="shared" si="0"/>
        <v>2.3405666635080036E-2</v>
      </c>
      <c r="E20" s="4">
        <f t="shared" si="1"/>
        <v>8.65</v>
      </c>
      <c r="F20" s="4">
        <f t="shared" si="2"/>
        <v>8.8524590163934427</v>
      </c>
      <c r="G20" s="4">
        <f t="shared" si="3"/>
        <v>0.20245901639344233</v>
      </c>
      <c r="H20" s="2" t="s">
        <v>26</v>
      </c>
      <c r="I20" s="2" t="s">
        <v>27</v>
      </c>
      <c r="J20" s="4">
        <v>8.65</v>
      </c>
      <c r="K20" s="4">
        <v>8.8524590163934427</v>
      </c>
      <c r="L20" s="4">
        <v>1</v>
      </c>
      <c r="M20" s="2" t="s">
        <v>62</v>
      </c>
      <c r="N20" s="2" t="s">
        <v>29</v>
      </c>
      <c r="O20" s="2" t="s">
        <v>30</v>
      </c>
      <c r="P20" s="2" t="s">
        <v>31</v>
      </c>
      <c r="Q20" s="2" t="s">
        <v>63</v>
      </c>
      <c r="R20" s="2" t="s">
        <v>82</v>
      </c>
      <c r="T20" s="2" t="s">
        <v>83</v>
      </c>
      <c r="U20" s="2" t="s">
        <v>91</v>
      </c>
      <c r="W20" s="2" t="s">
        <v>84</v>
      </c>
    </row>
    <row r="21" spans="1:23" x14ac:dyDescent="0.3">
      <c r="A21" s="2" t="s">
        <v>23</v>
      </c>
      <c r="B21" s="2" t="s">
        <v>90</v>
      </c>
      <c r="C21" s="2" t="s">
        <v>25</v>
      </c>
      <c r="D21" s="3">
        <f t="shared" si="0"/>
        <v>2.3405666635080036E-2</v>
      </c>
      <c r="E21" s="4">
        <f t="shared" si="1"/>
        <v>17.3</v>
      </c>
      <c r="F21" s="4">
        <f t="shared" si="2"/>
        <v>17.704918032786885</v>
      </c>
      <c r="G21" s="4">
        <f t="shared" si="3"/>
        <v>0.40491803278688465</v>
      </c>
      <c r="H21" s="2" t="s">
        <v>26</v>
      </c>
      <c r="I21" s="2" t="s">
        <v>27</v>
      </c>
      <c r="J21" s="4">
        <v>8.65</v>
      </c>
      <c r="K21" s="4">
        <v>8.8524590163934427</v>
      </c>
      <c r="L21" s="4">
        <v>2</v>
      </c>
      <c r="M21" s="2" t="s">
        <v>62</v>
      </c>
      <c r="N21" s="2" t="s">
        <v>29</v>
      </c>
      <c r="O21" s="2" t="s">
        <v>30</v>
      </c>
      <c r="P21" s="2" t="s">
        <v>31</v>
      </c>
      <c r="Q21" s="2" t="s">
        <v>63</v>
      </c>
      <c r="R21" s="2" t="s">
        <v>92</v>
      </c>
      <c r="T21" s="2" t="s">
        <v>93</v>
      </c>
      <c r="U21" s="2" t="s">
        <v>91</v>
      </c>
      <c r="W21" s="2" t="s">
        <v>94</v>
      </c>
    </row>
    <row r="22" spans="1:23" x14ac:dyDescent="0.3">
      <c r="A22" s="2" t="s">
        <v>23</v>
      </c>
      <c r="B22" s="2" t="s">
        <v>65</v>
      </c>
      <c r="C22" s="2" t="s">
        <v>25</v>
      </c>
      <c r="D22" s="3">
        <f t="shared" si="0"/>
        <v>2.3405666635080036E-2</v>
      </c>
      <c r="E22" s="4">
        <f t="shared" si="1"/>
        <v>8.65</v>
      </c>
      <c r="F22" s="4">
        <f t="shared" si="2"/>
        <v>8.8524590163934427</v>
      </c>
      <c r="G22" s="4">
        <f t="shared" si="3"/>
        <v>0.20245901639344233</v>
      </c>
      <c r="H22" s="2" t="s">
        <v>26</v>
      </c>
      <c r="I22" s="2" t="s">
        <v>27</v>
      </c>
      <c r="J22" s="4">
        <v>8.65</v>
      </c>
      <c r="K22" s="4">
        <v>8.8524590163934427</v>
      </c>
      <c r="L22" s="4">
        <v>1</v>
      </c>
      <c r="M22" s="2" t="s">
        <v>66</v>
      </c>
      <c r="N22" s="2" t="s">
        <v>29</v>
      </c>
      <c r="O22" s="2" t="s">
        <v>500</v>
      </c>
      <c r="P22" s="2" t="s">
        <v>56</v>
      </c>
      <c r="Q22" s="2" t="s">
        <v>67</v>
      </c>
      <c r="R22" s="2" t="s">
        <v>535</v>
      </c>
      <c r="T22" s="2" t="s">
        <v>536</v>
      </c>
      <c r="U22" s="2" t="s">
        <v>70</v>
      </c>
      <c r="W22" s="2" t="s">
        <v>537</v>
      </c>
    </row>
    <row r="23" spans="1:23" x14ac:dyDescent="0.3">
      <c r="A23" s="2" t="s">
        <v>23</v>
      </c>
      <c r="B23" s="2" t="s">
        <v>85</v>
      </c>
      <c r="C23" s="2" t="s">
        <v>25</v>
      </c>
      <c r="D23" s="3">
        <f t="shared" si="0"/>
        <v>2.3405666635080036E-2</v>
      </c>
      <c r="E23" s="4">
        <f t="shared" si="1"/>
        <v>34.6</v>
      </c>
      <c r="F23" s="4">
        <f t="shared" si="2"/>
        <v>35.409836065573771</v>
      </c>
      <c r="G23" s="4">
        <f t="shared" si="3"/>
        <v>0.8098360655737693</v>
      </c>
      <c r="H23" s="2" t="s">
        <v>26</v>
      </c>
      <c r="I23" s="2" t="s">
        <v>27</v>
      </c>
      <c r="J23" s="4">
        <v>8.65</v>
      </c>
      <c r="K23" s="4">
        <v>8.8524590163934427</v>
      </c>
      <c r="L23" s="4">
        <v>4</v>
      </c>
      <c r="M23" s="2" t="s">
        <v>66</v>
      </c>
      <c r="N23" s="2" t="s">
        <v>29</v>
      </c>
      <c r="O23" s="2" t="s">
        <v>500</v>
      </c>
      <c r="P23" s="2" t="s">
        <v>56</v>
      </c>
      <c r="Q23" s="2" t="s">
        <v>67</v>
      </c>
      <c r="R23" s="2" t="s">
        <v>541</v>
      </c>
      <c r="T23" s="2" t="s">
        <v>542</v>
      </c>
      <c r="U23" s="2" t="s">
        <v>88</v>
      </c>
      <c r="W23" s="5"/>
    </row>
    <row r="24" spans="1:23" x14ac:dyDescent="0.3">
      <c r="A24" s="2" t="s">
        <v>23</v>
      </c>
      <c r="B24" s="2" t="s">
        <v>85</v>
      </c>
      <c r="C24" s="2" t="s">
        <v>25</v>
      </c>
      <c r="D24" s="3">
        <f t="shared" si="0"/>
        <v>2.3405666635080036E-2</v>
      </c>
      <c r="E24" s="4">
        <f t="shared" si="1"/>
        <v>8.65</v>
      </c>
      <c r="F24" s="4">
        <f t="shared" si="2"/>
        <v>8.8524590163934427</v>
      </c>
      <c r="G24" s="4">
        <f t="shared" si="3"/>
        <v>0.20245901639344233</v>
      </c>
      <c r="H24" s="2" t="s">
        <v>26</v>
      </c>
      <c r="I24" s="2" t="s">
        <v>27</v>
      </c>
      <c r="J24" s="4">
        <v>8.65</v>
      </c>
      <c r="K24" s="4">
        <v>8.8524590163934427</v>
      </c>
      <c r="L24" s="4">
        <v>1</v>
      </c>
      <c r="M24" s="2" t="s">
        <v>66</v>
      </c>
      <c r="N24" s="2" t="s">
        <v>29</v>
      </c>
      <c r="O24" s="2" t="s">
        <v>500</v>
      </c>
      <c r="P24" s="2" t="s">
        <v>56</v>
      </c>
      <c r="Q24" s="2" t="s">
        <v>67</v>
      </c>
      <c r="R24" s="2" t="s">
        <v>538</v>
      </c>
      <c r="T24" s="2" t="s">
        <v>539</v>
      </c>
      <c r="U24" s="2" t="s">
        <v>88</v>
      </c>
      <c r="W24" s="2" t="s">
        <v>540</v>
      </c>
    </row>
    <row r="25" spans="1:23" x14ac:dyDescent="0.3">
      <c r="A25" s="2" t="s">
        <v>23</v>
      </c>
      <c r="B25" s="2" t="s">
        <v>85</v>
      </c>
      <c r="C25" s="2" t="s">
        <v>25</v>
      </c>
      <c r="D25" s="3">
        <f t="shared" si="0"/>
        <v>2.3405666635080036E-2</v>
      </c>
      <c r="E25" s="4">
        <f t="shared" si="1"/>
        <v>8.65</v>
      </c>
      <c r="F25" s="4">
        <f t="shared" si="2"/>
        <v>8.8524590163934427</v>
      </c>
      <c r="G25" s="4">
        <f t="shared" si="3"/>
        <v>0.20245901639344233</v>
      </c>
      <c r="H25" s="2" t="s">
        <v>26</v>
      </c>
      <c r="I25" s="2" t="s">
        <v>27</v>
      </c>
      <c r="J25" s="4">
        <v>8.65</v>
      </c>
      <c r="K25" s="4">
        <v>8.8524590163934427</v>
      </c>
      <c r="L25" s="4">
        <v>1</v>
      </c>
      <c r="M25" s="2" t="s">
        <v>66</v>
      </c>
      <c r="N25" s="2" t="s">
        <v>29</v>
      </c>
      <c r="O25" s="2" t="s">
        <v>500</v>
      </c>
      <c r="P25" s="2" t="s">
        <v>56</v>
      </c>
      <c r="Q25" s="2" t="s">
        <v>67</v>
      </c>
      <c r="R25" s="2" t="s">
        <v>543</v>
      </c>
      <c r="T25" s="2" t="s">
        <v>544</v>
      </c>
      <c r="U25" s="2" t="s">
        <v>88</v>
      </c>
      <c r="W25" s="2" t="s">
        <v>545</v>
      </c>
    </row>
    <row r="26" spans="1:23" x14ac:dyDescent="0.3">
      <c r="A26" s="2" t="s">
        <v>23</v>
      </c>
      <c r="B26" s="2" t="s">
        <v>90</v>
      </c>
      <c r="C26" s="2" t="s">
        <v>25</v>
      </c>
      <c r="D26" s="3">
        <f t="shared" si="0"/>
        <v>2.3405666635079998E-2</v>
      </c>
      <c r="E26" s="4">
        <f t="shared" si="1"/>
        <v>43.25</v>
      </c>
      <c r="F26" s="4">
        <f t="shared" si="2"/>
        <v>44.26229508196721</v>
      </c>
      <c r="G26" s="4">
        <f t="shared" si="3"/>
        <v>1.0122950819672099</v>
      </c>
      <c r="H26" s="2" t="s">
        <v>26</v>
      </c>
      <c r="I26" s="2" t="s">
        <v>27</v>
      </c>
      <c r="J26" s="4">
        <v>8.65</v>
      </c>
      <c r="K26" s="4">
        <v>8.8524590163934427</v>
      </c>
      <c r="L26" s="4">
        <v>5</v>
      </c>
      <c r="M26" s="2" t="s">
        <v>62</v>
      </c>
      <c r="N26" s="2" t="s">
        <v>29</v>
      </c>
      <c r="O26" s="2" t="s">
        <v>500</v>
      </c>
      <c r="P26" s="2" t="s">
        <v>56</v>
      </c>
      <c r="Q26" s="2" t="s">
        <v>63</v>
      </c>
      <c r="R26" s="2" t="s">
        <v>541</v>
      </c>
      <c r="T26" s="2" t="s">
        <v>542</v>
      </c>
      <c r="U26" s="2" t="s">
        <v>91</v>
      </c>
      <c r="W26" s="5"/>
    </row>
    <row r="27" spans="1:23" x14ac:dyDescent="0.3">
      <c r="A27" s="2" t="s">
        <v>23</v>
      </c>
      <c r="B27" s="2" t="s">
        <v>90</v>
      </c>
      <c r="C27" s="2" t="s">
        <v>25</v>
      </c>
      <c r="D27" s="3">
        <f t="shared" si="0"/>
        <v>2.3405666635080036E-2</v>
      </c>
      <c r="E27" s="4">
        <f t="shared" si="1"/>
        <v>8.65</v>
      </c>
      <c r="F27" s="4">
        <f t="shared" si="2"/>
        <v>8.8524590163934427</v>
      </c>
      <c r="G27" s="4">
        <f t="shared" si="3"/>
        <v>0.20245901639344233</v>
      </c>
      <c r="H27" s="2" t="s">
        <v>26</v>
      </c>
      <c r="I27" s="2" t="s">
        <v>27</v>
      </c>
      <c r="J27" s="4">
        <v>8.65</v>
      </c>
      <c r="K27" s="4">
        <v>8.8524590163934427</v>
      </c>
      <c r="L27" s="4">
        <v>1</v>
      </c>
      <c r="M27" s="2" t="s">
        <v>62</v>
      </c>
      <c r="N27" s="2" t="s">
        <v>29</v>
      </c>
      <c r="O27" s="2" t="s">
        <v>500</v>
      </c>
      <c r="P27" s="2" t="s">
        <v>56</v>
      </c>
      <c r="Q27" s="2" t="s">
        <v>63</v>
      </c>
      <c r="R27" s="2" t="s">
        <v>538</v>
      </c>
      <c r="T27" s="2" t="s">
        <v>539</v>
      </c>
      <c r="U27" s="2" t="s">
        <v>91</v>
      </c>
      <c r="W27" s="2" t="s">
        <v>540</v>
      </c>
    </row>
    <row r="28" spans="1:23" x14ac:dyDescent="0.3">
      <c r="A28" s="2" t="s">
        <v>23</v>
      </c>
      <c r="B28" s="2" t="s">
        <v>90</v>
      </c>
      <c r="C28" s="2" t="s">
        <v>25</v>
      </c>
      <c r="D28" s="3">
        <f t="shared" si="0"/>
        <v>2.3405666635080036E-2</v>
      </c>
      <c r="E28" s="4">
        <f t="shared" si="1"/>
        <v>17.3</v>
      </c>
      <c r="F28" s="4">
        <f t="shared" si="2"/>
        <v>17.704918032786885</v>
      </c>
      <c r="G28" s="4">
        <f t="shared" si="3"/>
        <v>0.40491803278688465</v>
      </c>
      <c r="H28" s="2" t="s">
        <v>26</v>
      </c>
      <c r="I28" s="2" t="s">
        <v>27</v>
      </c>
      <c r="J28" s="4">
        <v>8.65</v>
      </c>
      <c r="K28" s="4">
        <v>8.8524590163934427</v>
      </c>
      <c r="L28" s="4">
        <v>2</v>
      </c>
      <c r="M28" s="2" t="s">
        <v>62</v>
      </c>
      <c r="N28" s="2" t="s">
        <v>29</v>
      </c>
      <c r="O28" s="2" t="s">
        <v>500</v>
      </c>
      <c r="P28" s="2" t="s">
        <v>56</v>
      </c>
      <c r="Q28" s="2" t="s">
        <v>63</v>
      </c>
      <c r="R28" s="2" t="s">
        <v>535</v>
      </c>
      <c r="T28" s="2" t="s">
        <v>536</v>
      </c>
      <c r="U28" s="2" t="s">
        <v>91</v>
      </c>
      <c r="W28" s="2" t="s">
        <v>537</v>
      </c>
    </row>
    <row r="29" spans="1:23" x14ac:dyDescent="0.3">
      <c r="A29" s="2" t="s">
        <v>23</v>
      </c>
      <c r="B29" s="2" t="s">
        <v>90</v>
      </c>
      <c r="C29" s="2" t="s">
        <v>25</v>
      </c>
      <c r="D29" s="3">
        <f t="shared" si="0"/>
        <v>2.3405666635079998E-2</v>
      </c>
      <c r="E29" s="4">
        <f t="shared" si="1"/>
        <v>86.5</v>
      </c>
      <c r="F29" s="4">
        <f t="shared" si="2"/>
        <v>88.52459016393442</v>
      </c>
      <c r="G29" s="4">
        <f t="shared" si="3"/>
        <v>2.0245901639344197</v>
      </c>
      <c r="H29" s="2" t="s">
        <v>26</v>
      </c>
      <c r="I29" s="2" t="s">
        <v>27</v>
      </c>
      <c r="J29" s="4">
        <v>8.65</v>
      </c>
      <c r="K29" s="4">
        <v>8.8524590163934427</v>
      </c>
      <c r="L29" s="4">
        <v>10</v>
      </c>
      <c r="M29" s="2" t="s">
        <v>62</v>
      </c>
      <c r="N29" s="2" t="s">
        <v>29</v>
      </c>
      <c r="O29" s="2" t="s">
        <v>500</v>
      </c>
      <c r="P29" s="2" t="s">
        <v>56</v>
      </c>
      <c r="Q29" s="2" t="s">
        <v>63</v>
      </c>
      <c r="R29" s="2" t="s">
        <v>546</v>
      </c>
      <c r="T29" s="2" t="s">
        <v>547</v>
      </c>
      <c r="U29" s="2" t="s">
        <v>91</v>
      </c>
      <c r="W29" s="2" t="s">
        <v>548</v>
      </c>
    </row>
    <row r="30" spans="1:23" x14ac:dyDescent="0.3">
      <c r="A30" s="2" t="s">
        <v>23</v>
      </c>
      <c r="B30" s="2" t="s">
        <v>90</v>
      </c>
      <c r="C30" s="2" t="s">
        <v>25</v>
      </c>
      <c r="D30" s="3">
        <f t="shared" si="0"/>
        <v>2.3405666635080036E-2</v>
      </c>
      <c r="E30" s="4">
        <f t="shared" si="1"/>
        <v>8.65</v>
      </c>
      <c r="F30" s="4">
        <f t="shared" si="2"/>
        <v>8.8524590163934427</v>
      </c>
      <c r="G30" s="4">
        <f t="shared" si="3"/>
        <v>0.20245901639344233</v>
      </c>
      <c r="H30" s="2" t="s">
        <v>26</v>
      </c>
      <c r="I30" s="2" t="s">
        <v>27</v>
      </c>
      <c r="J30" s="4">
        <v>8.65</v>
      </c>
      <c r="K30" s="4">
        <v>8.8524590163934427</v>
      </c>
      <c r="L30" s="4">
        <v>1</v>
      </c>
      <c r="M30" s="2" t="s">
        <v>62</v>
      </c>
      <c r="N30" s="2" t="s">
        <v>29</v>
      </c>
      <c r="O30" s="2" t="s">
        <v>500</v>
      </c>
      <c r="P30" s="2" t="s">
        <v>56</v>
      </c>
      <c r="Q30" s="2" t="s">
        <v>63</v>
      </c>
      <c r="R30" s="2" t="s">
        <v>543</v>
      </c>
      <c r="T30" s="2" t="s">
        <v>544</v>
      </c>
      <c r="U30" s="2" t="s">
        <v>91</v>
      </c>
      <c r="W30" s="2" t="s">
        <v>545</v>
      </c>
    </row>
    <row r="31" spans="1:23" ht="20.399999999999999" x14ac:dyDescent="0.3">
      <c r="A31" s="2" t="s">
        <v>23</v>
      </c>
      <c r="B31" s="2" t="s">
        <v>90</v>
      </c>
      <c r="C31" s="2" t="s">
        <v>25</v>
      </c>
      <c r="D31" s="3">
        <f t="shared" si="0"/>
        <v>2.3405666635080036E-2</v>
      </c>
      <c r="E31" s="4">
        <f t="shared" si="1"/>
        <v>8.65</v>
      </c>
      <c r="F31" s="4">
        <f t="shared" si="2"/>
        <v>8.8524590163934427</v>
      </c>
      <c r="G31" s="4">
        <f t="shared" si="3"/>
        <v>0.20245901639344233</v>
      </c>
      <c r="H31" s="2" t="s">
        <v>26</v>
      </c>
      <c r="I31" s="2" t="s">
        <v>27</v>
      </c>
      <c r="J31" s="4">
        <v>8.65</v>
      </c>
      <c r="K31" s="4">
        <v>8.8524590163934427</v>
      </c>
      <c r="L31" s="4">
        <v>1</v>
      </c>
      <c r="M31" s="2" t="s">
        <v>62</v>
      </c>
      <c r="N31" s="2" t="s">
        <v>29</v>
      </c>
      <c r="O31" s="2" t="s">
        <v>500</v>
      </c>
      <c r="P31" s="2" t="s">
        <v>56</v>
      </c>
      <c r="Q31" s="2" t="s">
        <v>63</v>
      </c>
      <c r="R31" s="2" t="s">
        <v>549</v>
      </c>
      <c r="T31" s="2" t="s">
        <v>550</v>
      </c>
      <c r="U31" s="2" t="s">
        <v>91</v>
      </c>
      <c r="W31" s="2" t="s">
        <v>551</v>
      </c>
    </row>
    <row r="32" spans="1:23" x14ac:dyDescent="0.3">
      <c r="A32" s="2" t="s">
        <v>23</v>
      </c>
      <c r="B32" s="2" t="s">
        <v>90</v>
      </c>
      <c r="C32" s="2" t="s">
        <v>25</v>
      </c>
      <c r="D32" s="3">
        <f t="shared" si="0"/>
        <v>2.3405666635080036E-2</v>
      </c>
      <c r="E32" s="4">
        <f t="shared" si="1"/>
        <v>17.3</v>
      </c>
      <c r="F32" s="4">
        <f t="shared" si="2"/>
        <v>17.704918032786885</v>
      </c>
      <c r="G32" s="4">
        <f t="shared" si="3"/>
        <v>0.40491803278688465</v>
      </c>
      <c r="H32" s="2" t="s">
        <v>26</v>
      </c>
      <c r="I32" s="2" t="s">
        <v>27</v>
      </c>
      <c r="J32" s="4">
        <v>8.65</v>
      </c>
      <c r="K32" s="4">
        <v>8.8524590163934427</v>
      </c>
      <c r="L32" s="4">
        <v>2</v>
      </c>
      <c r="M32" s="2" t="s">
        <v>62</v>
      </c>
      <c r="N32" s="2" t="s">
        <v>29</v>
      </c>
      <c r="O32" s="2" t="s">
        <v>650</v>
      </c>
      <c r="P32" s="2" t="s">
        <v>651</v>
      </c>
      <c r="Q32" s="2" t="s">
        <v>63</v>
      </c>
      <c r="R32" s="2" t="s">
        <v>659</v>
      </c>
      <c r="T32" s="2" t="s">
        <v>660</v>
      </c>
      <c r="U32" s="2" t="s">
        <v>91</v>
      </c>
      <c r="W32" s="2" t="s">
        <v>661</v>
      </c>
    </row>
    <row r="33" spans="1:23" x14ac:dyDescent="0.3">
      <c r="A33" s="2" t="s">
        <v>23</v>
      </c>
      <c r="B33" s="2" t="s">
        <v>77</v>
      </c>
      <c r="C33" s="2" t="s">
        <v>25</v>
      </c>
      <c r="D33" s="3">
        <f t="shared" si="0"/>
        <v>5.3864168618266865E-2</v>
      </c>
      <c r="E33" s="4">
        <f t="shared" si="1"/>
        <v>25.200000000000003</v>
      </c>
      <c r="F33" s="4">
        <f t="shared" si="2"/>
        <v>26.557377049180328</v>
      </c>
      <c r="G33" s="4">
        <f t="shared" si="3"/>
        <v>1.3573770491803252</v>
      </c>
      <c r="H33" s="2" t="s">
        <v>26</v>
      </c>
      <c r="I33" s="2" t="s">
        <v>27</v>
      </c>
      <c r="J33" s="4">
        <v>8.4</v>
      </c>
      <c r="K33" s="4">
        <v>8.8524590163934427</v>
      </c>
      <c r="L33" s="4">
        <v>3</v>
      </c>
      <c r="M33" s="2" t="s">
        <v>28</v>
      </c>
      <c r="N33" s="2" t="s">
        <v>29</v>
      </c>
      <c r="O33" s="2" t="s">
        <v>30</v>
      </c>
      <c r="P33" s="2" t="s">
        <v>31</v>
      </c>
      <c r="Q33" s="2" t="s">
        <v>32</v>
      </c>
      <c r="R33" s="2" t="s">
        <v>68</v>
      </c>
      <c r="T33" s="2" t="s">
        <v>69</v>
      </c>
      <c r="U33" s="2" t="s">
        <v>78</v>
      </c>
      <c r="W33" s="2" t="s">
        <v>71</v>
      </c>
    </row>
    <row r="34" spans="1:23" x14ac:dyDescent="0.3">
      <c r="A34" s="2" t="s">
        <v>23</v>
      </c>
      <c r="B34" s="2" t="s">
        <v>77</v>
      </c>
      <c r="C34" s="2" t="s">
        <v>25</v>
      </c>
      <c r="D34" s="3">
        <f t="shared" si="0"/>
        <v>5.3864168618266942E-2</v>
      </c>
      <c r="E34" s="4">
        <f t="shared" si="1"/>
        <v>8.4</v>
      </c>
      <c r="F34" s="4">
        <f t="shared" si="2"/>
        <v>8.8524590163934427</v>
      </c>
      <c r="G34" s="4">
        <f t="shared" si="3"/>
        <v>0.45245901639344233</v>
      </c>
      <c r="H34" s="2" t="s">
        <v>26</v>
      </c>
      <c r="I34" s="2" t="s">
        <v>27</v>
      </c>
      <c r="J34" s="4">
        <v>8.4</v>
      </c>
      <c r="K34" s="4">
        <v>8.8524590163934427</v>
      </c>
      <c r="L34" s="4">
        <v>1</v>
      </c>
      <c r="M34" s="2" t="s">
        <v>28</v>
      </c>
      <c r="N34" s="2" t="s">
        <v>29</v>
      </c>
      <c r="O34" s="2" t="s">
        <v>30</v>
      </c>
      <c r="P34" s="2" t="s">
        <v>31</v>
      </c>
      <c r="Q34" s="2" t="s">
        <v>32</v>
      </c>
      <c r="R34" s="2" t="s">
        <v>79</v>
      </c>
      <c r="T34" s="2" t="s">
        <v>80</v>
      </c>
      <c r="U34" s="2" t="s">
        <v>78</v>
      </c>
      <c r="W34" s="2" t="s">
        <v>81</v>
      </c>
    </row>
    <row r="35" spans="1:23" x14ac:dyDescent="0.3">
      <c r="A35" s="2" t="s">
        <v>23</v>
      </c>
      <c r="B35" s="2" t="s">
        <v>77</v>
      </c>
      <c r="C35" s="2" t="s">
        <v>25</v>
      </c>
      <c r="D35" s="3">
        <f t="shared" si="0"/>
        <v>5.3864168618266942E-2</v>
      </c>
      <c r="E35" s="4">
        <f t="shared" si="1"/>
        <v>8.4</v>
      </c>
      <c r="F35" s="4">
        <f t="shared" si="2"/>
        <v>8.8524590163934427</v>
      </c>
      <c r="G35" s="4">
        <f t="shared" si="3"/>
        <v>0.45245901639344233</v>
      </c>
      <c r="H35" s="2" t="s">
        <v>26</v>
      </c>
      <c r="I35" s="2" t="s">
        <v>27</v>
      </c>
      <c r="J35" s="4">
        <v>8.4</v>
      </c>
      <c r="K35" s="4">
        <v>8.8524590163934427</v>
      </c>
      <c r="L35" s="4">
        <v>1</v>
      </c>
      <c r="M35" s="2" t="s">
        <v>28</v>
      </c>
      <c r="N35" s="2" t="s">
        <v>29</v>
      </c>
      <c r="O35" s="2" t="s">
        <v>30</v>
      </c>
      <c r="P35" s="2" t="s">
        <v>31</v>
      </c>
      <c r="Q35" s="2" t="s">
        <v>32</v>
      </c>
      <c r="R35" s="2" t="s">
        <v>82</v>
      </c>
      <c r="T35" s="2" t="s">
        <v>83</v>
      </c>
      <c r="U35" s="2" t="s">
        <v>78</v>
      </c>
      <c r="W35" s="2" t="s">
        <v>84</v>
      </c>
    </row>
    <row r="36" spans="1:23" x14ac:dyDescent="0.3">
      <c r="A36" s="2" t="s">
        <v>23</v>
      </c>
      <c r="B36" s="2" t="s">
        <v>95</v>
      </c>
      <c r="C36" s="2" t="s">
        <v>25</v>
      </c>
      <c r="D36" s="3">
        <f t="shared" si="0"/>
        <v>5.3864168618266865E-2</v>
      </c>
      <c r="E36" s="4">
        <f t="shared" si="1"/>
        <v>25.200000000000003</v>
      </c>
      <c r="F36" s="4">
        <f t="shared" si="2"/>
        <v>26.557377049180328</v>
      </c>
      <c r="G36" s="4">
        <f t="shared" si="3"/>
        <v>1.3573770491803252</v>
      </c>
      <c r="H36" s="2" t="s">
        <v>26</v>
      </c>
      <c r="I36" s="2" t="s">
        <v>27</v>
      </c>
      <c r="J36" s="4">
        <v>8.4</v>
      </c>
      <c r="K36" s="4">
        <v>8.8524590163934427</v>
      </c>
      <c r="L36" s="4">
        <v>3</v>
      </c>
      <c r="M36" s="2" t="s">
        <v>28</v>
      </c>
      <c r="N36" s="2" t="s">
        <v>29</v>
      </c>
      <c r="O36" s="2" t="s">
        <v>30</v>
      </c>
      <c r="P36" s="2" t="s">
        <v>31</v>
      </c>
      <c r="Q36" s="2" t="s">
        <v>32</v>
      </c>
      <c r="R36" s="2" t="s">
        <v>68</v>
      </c>
      <c r="T36" s="2" t="s">
        <v>69</v>
      </c>
      <c r="U36" s="2" t="s">
        <v>96</v>
      </c>
      <c r="W36" s="2" t="s">
        <v>71</v>
      </c>
    </row>
    <row r="37" spans="1:23" x14ac:dyDescent="0.3">
      <c r="A37" s="2" t="s">
        <v>23</v>
      </c>
      <c r="B37" s="2" t="s">
        <v>95</v>
      </c>
      <c r="C37" s="2" t="s">
        <v>25</v>
      </c>
      <c r="D37" s="3">
        <f t="shared" si="0"/>
        <v>5.3864168618266942E-2</v>
      </c>
      <c r="E37" s="4">
        <f t="shared" si="1"/>
        <v>67.2</v>
      </c>
      <c r="F37" s="4">
        <f t="shared" si="2"/>
        <v>70.819672131147541</v>
      </c>
      <c r="G37" s="4">
        <f t="shared" si="3"/>
        <v>3.6196721311475386</v>
      </c>
      <c r="H37" s="2" t="s">
        <v>26</v>
      </c>
      <c r="I37" s="2" t="s">
        <v>27</v>
      </c>
      <c r="J37" s="4">
        <v>8.4</v>
      </c>
      <c r="K37" s="4">
        <v>8.8524590163934427</v>
      </c>
      <c r="L37" s="4">
        <v>8</v>
      </c>
      <c r="M37" s="2" t="s">
        <v>28</v>
      </c>
      <c r="N37" s="2" t="s">
        <v>29</v>
      </c>
      <c r="O37" s="2" t="s">
        <v>30</v>
      </c>
      <c r="P37" s="2" t="s">
        <v>31</v>
      </c>
      <c r="Q37" s="2" t="s">
        <v>32</v>
      </c>
      <c r="R37" s="2" t="s">
        <v>57</v>
      </c>
      <c r="T37" s="2" t="s">
        <v>58</v>
      </c>
      <c r="U37" s="2" t="s">
        <v>96</v>
      </c>
      <c r="W37" s="2" t="s">
        <v>60</v>
      </c>
    </row>
    <row r="38" spans="1:23" x14ac:dyDescent="0.3">
      <c r="A38" s="2" t="s">
        <v>23</v>
      </c>
      <c r="B38" s="2" t="s">
        <v>95</v>
      </c>
      <c r="C38" s="2" t="s">
        <v>25</v>
      </c>
      <c r="D38" s="3">
        <f t="shared" si="0"/>
        <v>5.3864168618266942E-2</v>
      </c>
      <c r="E38" s="4">
        <f t="shared" si="1"/>
        <v>8.4</v>
      </c>
      <c r="F38" s="4">
        <f t="shared" si="2"/>
        <v>8.8524590163934427</v>
      </c>
      <c r="G38" s="4">
        <f t="shared" si="3"/>
        <v>0.45245901639344233</v>
      </c>
      <c r="H38" s="2" t="s">
        <v>26</v>
      </c>
      <c r="I38" s="2" t="s">
        <v>27</v>
      </c>
      <c r="J38" s="4">
        <v>8.4</v>
      </c>
      <c r="K38" s="4">
        <v>8.8524590163934427</v>
      </c>
      <c r="L38" s="4">
        <v>1</v>
      </c>
      <c r="M38" s="2" t="s">
        <v>28</v>
      </c>
      <c r="N38" s="2" t="s">
        <v>29</v>
      </c>
      <c r="O38" s="2" t="s">
        <v>30</v>
      </c>
      <c r="P38" s="2" t="s">
        <v>31</v>
      </c>
      <c r="Q38" s="2" t="s">
        <v>32</v>
      </c>
      <c r="R38" s="2" t="s">
        <v>79</v>
      </c>
      <c r="T38" s="2" t="s">
        <v>80</v>
      </c>
      <c r="U38" s="2" t="s">
        <v>96</v>
      </c>
      <c r="W38" s="2" t="s">
        <v>81</v>
      </c>
    </row>
    <row r="39" spans="1:23" x14ac:dyDescent="0.3">
      <c r="A39" s="2" t="s">
        <v>23</v>
      </c>
      <c r="B39" s="2" t="s">
        <v>77</v>
      </c>
      <c r="C39" s="2" t="s">
        <v>25</v>
      </c>
      <c r="D39" s="3">
        <f t="shared" si="0"/>
        <v>5.3864168618266942E-2</v>
      </c>
      <c r="E39" s="4">
        <f t="shared" si="1"/>
        <v>8.4</v>
      </c>
      <c r="F39" s="4">
        <f t="shared" si="2"/>
        <v>8.8524590163934427</v>
      </c>
      <c r="G39" s="4">
        <f t="shared" si="3"/>
        <v>0.45245901639344233</v>
      </c>
      <c r="H39" s="2" t="s">
        <v>26</v>
      </c>
      <c r="I39" s="2" t="s">
        <v>27</v>
      </c>
      <c r="J39" s="4">
        <v>8.4</v>
      </c>
      <c r="K39" s="4">
        <v>8.8524590163934427</v>
      </c>
      <c r="L39" s="4">
        <v>1</v>
      </c>
      <c r="M39" s="2" t="s">
        <v>28</v>
      </c>
      <c r="N39" s="2" t="s">
        <v>29</v>
      </c>
      <c r="O39" s="2" t="s">
        <v>500</v>
      </c>
      <c r="P39" s="2" t="s">
        <v>56</v>
      </c>
      <c r="Q39" s="2" t="s">
        <v>32</v>
      </c>
      <c r="R39" s="2" t="s">
        <v>538</v>
      </c>
      <c r="T39" s="2" t="s">
        <v>539</v>
      </c>
      <c r="U39" s="2" t="s">
        <v>78</v>
      </c>
      <c r="W39" s="2" t="s">
        <v>540</v>
      </c>
    </row>
    <row r="40" spans="1:23" x14ac:dyDescent="0.3">
      <c r="A40" s="2" t="s">
        <v>23</v>
      </c>
      <c r="B40" s="2" t="s">
        <v>77</v>
      </c>
      <c r="C40" s="2" t="s">
        <v>25</v>
      </c>
      <c r="D40" s="3">
        <f t="shared" si="0"/>
        <v>5.3864168618266942E-2</v>
      </c>
      <c r="E40" s="4">
        <f t="shared" si="1"/>
        <v>8.4</v>
      </c>
      <c r="F40" s="4">
        <f t="shared" si="2"/>
        <v>8.8524590163934427</v>
      </c>
      <c r="G40" s="4">
        <f t="shared" si="3"/>
        <v>0.45245901639344233</v>
      </c>
      <c r="H40" s="2" t="s">
        <v>26</v>
      </c>
      <c r="I40" s="2" t="s">
        <v>27</v>
      </c>
      <c r="J40" s="4">
        <v>8.4</v>
      </c>
      <c r="K40" s="4">
        <v>8.8524590163934427</v>
      </c>
      <c r="L40" s="4">
        <v>1</v>
      </c>
      <c r="M40" s="2" t="s">
        <v>28</v>
      </c>
      <c r="N40" s="2" t="s">
        <v>29</v>
      </c>
      <c r="O40" s="2" t="s">
        <v>650</v>
      </c>
      <c r="P40" s="2" t="s">
        <v>651</v>
      </c>
      <c r="Q40" s="2" t="s">
        <v>32</v>
      </c>
      <c r="R40" s="2" t="s">
        <v>659</v>
      </c>
      <c r="T40" s="2" t="s">
        <v>660</v>
      </c>
      <c r="U40" s="2" t="s">
        <v>78</v>
      </c>
      <c r="W40" s="2" t="s">
        <v>661</v>
      </c>
    </row>
    <row r="41" spans="1:23" x14ac:dyDescent="0.3">
      <c r="A41" s="2" t="s">
        <v>23</v>
      </c>
      <c r="B41" s="2" t="s">
        <v>95</v>
      </c>
      <c r="C41" s="2" t="s">
        <v>25</v>
      </c>
      <c r="D41" s="3">
        <f t="shared" si="0"/>
        <v>5.3864168618266942E-2</v>
      </c>
      <c r="E41" s="4">
        <f t="shared" si="1"/>
        <v>8.4</v>
      </c>
      <c r="F41" s="4">
        <f t="shared" si="2"/>
        <v>8.8524590163934427</v>
      </c>
      <c r="G41" s="4">
        <f t="shared" si="3"/>
        <v>0.45245901639344233</v>
      </c>
      <c r="H41" s="2" t="s">
        <v>26</v>
      </c>
      <c r="I41" s="2" t="s">
        <v>27</v>
      </c>
      <c r="J41" s="4">
        <v>8.4</v>
      </c>
      <c r="K41" s="4">
        <v>8.8524590163934427</v>
      </c>
      <c r="L41" s="4">
        <v>1</v>
      </c>
      <c r="M41" s="2" t="s">
        <v>28</v>
      </c>
      <c r="N41" s="2" t="s">
        <v>29</v>
      </c>
      <c r="O41" s="2" t="s">
        <v>650</v>
      </c>
      <c r="P41" s="2" t="s">
        <v>651</v>
      </c>
      <c r="Q41" s="2" t="s">
        <v>32</v>
      </c>
      <c r="R41" s="2" t="s">
        <v>659</v>
      </c>
      <c r="T41" s="2" t="s">
        <v>660</v>
      </c>
      <c r="U41" s="2" t="s">
        <v>96</v>
      </c>
      <c r="W41" s="2" t="s">
        <v>661</v>
      </c>
    </row>
    <row r="42" spans="1:23" x14ac:dyDescent="0.3">
      <c r="A42" s="2" t="s">
        <v>23</v>
      </c>
      <c r="B42" s="2" t="s">
        <v>65</v>
      </c>
      <c r="C42" s="2" t="s">
        <v>25</v>
      </c>
      <c r="D42" s="3">
        <f t="shared" si="0"/>
        <v>1.3929688240310689E-2</v>
      </c>
      <c r="E42" s="4">
        <f t="shared" si="1"/>
        <v>17.3</v>
      </c>
      <c r="F42" s="4">
        <f t="shared" si="2"/>
        <v>17.540983606557376</v>
      </c>
      <c r="G42" s="4">
        <f t="shared" si="3"/>
        <v>0.24098360655737494</v>
      </c>
      <c r="H42" s="2" t="s">
        <v>26</v>
      </c>
      <c r="I42" s="2" t="s">
        <v>27</v>
      </c>
      <c r="J42" s="4">
        <v>8.65</v>
      </c>
      <c r="K42" s="4">
        <v>8.7704918032786878</v>
      </c>
      <c r="L42" s="4">
        <v>2</v>
      </c>
      <c r="M42" s="2" t="s">
        <v>66</v>
      </c>
      <c r="N42" s="2" t="s">
        <v>29</v>
      </c>
      <c r="O42" s="2" t="s">
        <v>479</v>
      </c>
      <c r="P42" s="2" t="s">
        <v>480</v>
      </c>
      <c r="Q42" s="2" t="s">
        <v>67</v>
      </c>
      <c r="R42" s="2" t="s">
        <v>484</v>
      </c>
      <c r="T42" s="2" t="s">
        <v>485</v>
      </c>
      <c r="U42" s="2" t="s">
        <v>70</v>
      </c>
      <c r="W42" s="2" t="s">
        <v>486</v>
      </c>
    </row>
    <row r="43" spans="1:23" x14ac:dyDescent="0.3">
      <c r="A43" s="2" t="s">
        <v>23</v>
      </c>
      <c r="B43" s="2" t="s">
        <v>72</v>
      </c>
      <c r="C43" s="2" t="s">
        <v>25</v>
      </c>
      <c r="D43" s="3">
        <f t="shared" si="0"/>
        <v>1.3929688240310689E-2</v>
      </c>
      <c r="E43" s="4">
        <f t="shared" si="1"/>
        <v>17.3</v>
      </c>
      <c r="F43" s="4">
        <f t="shared" si="2"/>
        <v>17.540983606557376</v>
      </c>
      <c r="G43" s="4">
        <f t="shared" si="3"/>
        <v>0.24098360655737494</v>
      </c>
      <c r="H43" s="2" t="s">
        <v>26</v>
      </c>
      <c r="I43" s="2" t="s">
        <v>27</v>
      </c>
      <c r="J43" s="4">
        <v>8.65</v>
      </c>
      <c r="K43" s="4">
        <v>8.7704918032786878</v>
      </c>
      <c r="L43" s="4">
        <v>2</v>
      </c>
      <c r="M43" s="2" t="s">
        <v>62</v>
      </c>
      <c r="N43" s="2" t="s">
        <v>29</v>
      </c>
      <c r="O43" s="2" t="s">
        <v>479</v>
      </c>
      <c r="P43" s="2" t="s">
        <v>480</v>
      </c>
      <c r="Q43" s="2" t="s">
        <v>63</v>
      </c>
      <c r="R43" s="2" t="s">
        <v>484</v>
      </c>
      <c r="T43" s="2" t="s">
        <v>485</v>
      </c>
      <c r="U43" s="2" t="s">
        <v>73</v>
      </c>
      <c r="W43" s="2" t="s">
        <v>486</v>
      </c>
    </row>
    <row r="44" spans="1:23" x14ac:dyDescent="0.3">
      <c r="A44" s="2" t="s">
        <v>23</v>
      </c>
      <c r="B44" s="2" t="s">
        <v>85</v>
      </c>
      <c r="C44" s="2" t="s">
        <v>25</v>
      </c>
      <c r="D44" s="3">
        <f t="shared" si="0"/>
        <v>1.3929688240310619E-2</v>
      </c>
      <c r="E44" s="4">
        <f t="shared" si="1"/>
        <v>25.950000000000003</v>
      </c>
      <c r="F44" s="4">
        <f t="shared" si="2"/>
        <v>26.311475409836063</v>
      </c>
      <c r="G44" s="4">
        <f t="shared" si="3"/>
        <v>0.36147540983606063</v>
      </c>
      <c r="H44" s="2" t="s">
        <v>26</v>
      </c>
      <c r="I44" s="2" t="s">
        <v>27</v>
      </c>
      <c r="J44" s="4">
        <v>8.65</v>
      </c>
      <c r="K44" s="4">
        <v>8.7704918032786878</v>
      </c>
      <c r="L44" s="4">
        <v>3</v>
      </c>
      <c r="M44" s="2" t="s">
        <v>66</v>
      </c>
      <c r="N44" s="2" t="s">
        <v>29</v>
      </c>
      <c r="O44" s="2" t="s">
        <v>479</v>
      </c>
      <c r="P44" s="2" t="s">
        <v>480</v>
      </c>
      <c r="Q44" s="2" t="s">
        <v>67</v>
      </c>
      <c r="R44" s="2" t="s">
        <v>484</v>
      </c>
      <c r="T44" s="2" t="s">
        <v>485</v>
      </c>
      <c r="U44" s="2" t="s">
        <v>88</v>
      </c>
      <c r="W44" s="2" t="s">
        <v>486</v>
      </c>
    </row>
    <row r="45" spans="1:23" x14ac:dyDescent="0.3">
      <c r="A45" s="2" t="s">
        <v>23</v>
      </c>
      <c r="B45" s="2" t="s">
        <v>90</v>
      </c>
      <c r="C45" s="2" t="s">
        <v>25</v>
      </c>
      <c r="D45" s="3">
        <f t="shared" si="0"/>
        <v>1.3929688240310689E-2</v>
      </c>
      <c r="E45" s="4">
        <f t="shared" si="1"/>
        <v>34.6</v>
      </c>
      <c r="F45" s="4">
        <f t="shared" si="2"/>
        <v>35.081967213114751</v>
      </c>
      <c r="G45" s="4">
        <f t="shared" si="3"/>
        <v>0.48196721311474988</v>
      </c>
      <c r="H45" s="2" t="s">
        <v>26</v>
      </c>
      <c r="I45" s="2" t="s">
        <v>27</v>
      </c>
      <c r="J45" s="4">
        <v>8.65</v>
      </c>
      <c r="K45" s="4">
        <v>8.7704918032786878</v>
      </c>
      <c r="L45" s="4">
        <v>4</v>
      </c>
      <c r="M45" s="2" t="s">
        <v>62</v>
      </c>
      <c r="N45" s="2" t="s">
        <v>29</v>
      </c>
      <c r="O45" s="2" t="s">
        <v>479</v>
      </c>
      <c r="P45" s="2" t="s">
        <v>480</v>
      </c>
      <c r="Q45" s="2" t="s">
        <v>63</v>
      </c>
      <c r="R45" s="2" t="s">
        <v>484</v>
      </c>
      <c r="T45" s="2" t="s">
        <v>485</v>
      </c>
      <c r="U45" s="2" t="s">
        <v>91</v>
      </c>
      <c r="W45" s="2" t="s">
        <v>486</v>
      </c>
    </row>
    <row r="46" spans="1:23" x14ac:dyDescent="0.3">
      <c r="A46" s="2" t="s">
        <v>23</v>
      </c>
      <c r="B46" s="2" t="s">
        <v>77</v>
      </c>
      <c r="C46" s="2" t="s">
        <v>25</v>
      </c>
      <c r="D46" s="3">
        <f t="shared" si="0"/>
        <v>4.4106167056986605E-2</v>
      </c>
      <c r="E46" s="4">
        <f t="shared" si="1"/>
        <v>16.8</v>
      </c>
      <c r="F46" s="4">
        <f t="shared" si="2"/>
        <v>17.540983606557376</v>
      </c>
      <c r="G46" s="4">
        <f t="shared" si="3"/>
        <v>0.74098360655737494</v>
      </c>
      <c r="H46" s="2" t="s">
        <v>26</v>
      </c>
      <c r="I46" s="2" t="s">
        <v>27</v>
      </c>
      <c r="J46" s="4">
        <v>8.4</v>
      </c>
      <c r="K46" s="4">
        <v>8.7704918032786878</v>
      </c>
      <c r="L46" s="4">
        <v>2</v>
      </c>
      <c r="M46" s="2" t="s">
        <v>28</v>
      </c>
      <c r="N46" s="2" t="s">
        <v>29</v>
      </c>
      <c r="O46" s="2" t="s">
        <v>479</v>
      </c>
      <c r="P46" s="2" t="s">
        <v>480</v>
      </c>
      <c r="Q46" s="2" t="s">
        <v>32</v>
      </c>
      <c r="R46" s="2" t="s">
        <v>484</v>
      </c>
      <c r="T46" s="2" t="s">
        <v>485</v>
      </c>
      <c r="U46" s="2" t="s">
        <v>78</v>
      </c>
      <c r="W46" s="2" t="s">
        <v>486</v>
      </c>
    </row>
    <row r="47" spans="1:23" x14ac:dyDescent="0.3">
      <c r="A47" s="2" t="s">
        <v>23</v>
      </c>
      <c r="B47" s="2" t="s">
        <v>95</v>
      </c>
      <c r="C47" s="2" t="s">
        <v>25</v>
      </c>
      <c r="D47" s="3">
        <f t="shared" si="0"/>
        <v>4.4106167056986605E-2</v>
      </c>
      <c r="E47" s="4">
        <f t="shared" si="1"/>
        <v>16.8</v>
      </c>
      <c r="F47" s="4">
        <f t="shared" si="2"/>
        <v>17.540983606557376</v>
      </c>
      <c r="G47" s="4">
        <f t="shared" si="3"/>
        <v>0.74098360655737494</v>
      </c>
      <c r="H47" s="2" t="s">
        <v>26</v>
      </c>
      <c r="I47" s="2" t="s">
        <v>27</v>
      </c>
      <c r="J47" s="4">
        <v>8.4</v>
      </c>
      <c r="K47" s="4">
        <v>8.7704918032786878</v>
      </c>
      <c r="L47" s="4">
        <v>2</v>
      </c>
      <c r="M47" s="2" t="s">
        <v>28</v>
      </c>
      <c r="N47" s="2" t="s">
        <v>29</v>
      </c>
      <c r="O47" s="2" t="s">
        <v>479</v>
      </c>
      <c r="P47" s="2" t="s">
        <v>480</v>
      </c>
      <c r="Q47" s="2" t="s">
        <v>32</v>
      </c>
      <c r="R47" s="2" t="s">
        <v>484</v>
      </c>
      <c r="T47" s="2" t="s">
        <v>485</v>
      </c>
      <c r="U47" s="2" t="s">
        <v>96</v>
      </c>
      <c r="W47" s="2" t="s">
        <v>486</v>
      </c>
    </row>
    <row r="48" spans="1:23" ht="20.399999999999999" x14ac:dyDescent="0.3">
      <c r="A48" s="2" t="s">
        <v>283</v>
      </c>
      <c r="B48" s="2" t="s">
        <v>291</v>
      </c>
      <c r="C48" s="2" t="s">
        <v>25</v>
      </c>
      <c r="D48" s="3">
        <f t="shared" si="0"/>
        <v>0.13081548282967653</v>
      </c>
      <c r="E48" s="4">
        <f t="shared" si="1"/>
        <v>7.7558999999999996</v>
      </c>
      <c r="F48" s="4">
        <f t="shared" si="2"/>
        <v>8.7704918032786878</v>
      </c>
      <c r="G48" s="4">
        <f t="shared" si="3"/>
        <v>1.0145918032786883</v>
      </c>
      <c r="H48" s="2" t="s">
        <v>26</v>
      </c>
      <c r="I48" s="2" t="s">
        <v>27</v>
      </c>
      <c r="J48" s="4">
        <v>7.7558999999999996</v>
      </c>
      <c r="K48" s="4">
        <v>8.7704918032786878</v>
      </c>
      <c r="L48" s="4">
        <v>1</v>
      </c>
      <c r="M48" s="2" t="s">
        <v>292</v>
      </c>
      <c r="N48" s="2" t="s">
        <v>29</v>
      </c>
      <c r="O48" s="2" t="s">
        <v>160</v>
      </c>
      <c r="P48" s="2" t="s">
        <v>161</v>
      </c>
      <c r="Q48" s="2" t="s">
        <v>293</v>
      </c>
      <c r="R48" s="2" t="s">
        <v>229</v>
      </c>
      <c r="T48" s="2" t="s">
        <v>230</v>
      </c>
      <c r="U48" s="2" t="s">
        <v>294</v>
      </c>
      <c r="W48" s="2" t="s">
        <v>232</v>
      </c>
    </row>
    <row r="49" spans="1:23" ht="20.399999999999999" x14ac:dyDescent="0.3">
      <c r="A49" s="2" t="s">
        <v>283</v>
      </c>
      <c r="B49" s="2" t="s">
        <v>295</v>
      </c>
      <c r="C49" s="2" t="s">
        <v>25</v>
      </c>
      <c r="D49" s="3">
        <f t="shared" si="0"/>
        <v>0.13081548282967653</v>
      </c>
      <c r="E49" s="4">
        <f t="shared" si="1"/>
        <v>7.7558999999999996</v>
      </c>
      <c r="F49" s="4">
        <f t="shared" si="2"/>
        <v>8.7704918032786878</v>
      </c>
      <c r="G49" s="4">
        <f t="shared" si="3"/>
        <v>1.0145918032786883</v>
      </c>
      <c r="H49" s="2" t="s">
        <v>26</v>
      </c>
      <c r="I49" s="2" t="s">
        <v>27</v>
      </c>
      <c r="J49" s="4">
        <v>7.7558999999999996</v>
      </c>
      <c r="K49" s="4">
        <v>8.7704918032786878</v>
      </c>
      <c r="L49" s="4">
        <v>1</v>
      </c>
      <c r="M49" s="2" t="s">
        <v>292</v>
      </c>
      <c r="N49" s="2" t="s">
        <v>29</v>
      </c>
      <c r="O49" s="2" t="s">
        <v>160</v>
      </c>
      <c r="P49" s="2" t="s">
        <v>161</v>
      </c>
      <c r="Q49" s="2" t="s">
        <v>293</v>
      </c>
      <c r="R49" s="2" t="s">
        <v>229</v>
      </c>
      <c r="T49" s="2" t="s">
        <v>230</v>
      </c>
      <c r="U49" s="2" t="s">
        <v>296</v>
      </c>
      <c r="W49" s="2" t="s">
        <v>232</v>
      </c>
    </row>
    <row r="50" spans="1:23" ht="20.399999999999999" x14ac:dyDescent="0.3">
      <c r="A50" s="2" t="s">
        <v>283</v>
      </c>
      <c r="B50" s="2" t="s">
        <v>295</v>
      </c>
      <c r="C50" s="2" t="s">
        <v>25</v>
      </c>
      <c r="D50" s="3">
        <f t="shared" si="0"/>
        <v>0.13081548282967653</v>
      </c>
      <c r="E50" s="4">
        <f t="shared" si="1"/>
        <v>7.7558999999999996</v>
      </c>
      <c r="F50" s="4">
        <f t="shared" si="2"/>
        <v>8.7704918032786878</v>
      </c>
      <c r="G50" s="4">
        <f t="shared" si="3"/>
        <v>1.0145918032786883</v>
      </c>
      <c r="H50" s="2" t="s">
        <v>26</v>
      </c>
      <c r="I50" s="2" t="s">
        <v>27</v>
      </c>
      <c r="J50" s="4">
        <v>7.7558999999999996</v>
      </c>
      <c r="K50" s="4">
        <v>8.7704918032786878</v>
      </c>
      <c r="L50" s="4">
        <v>1</v>
      </c>
      <c r="M50" s="2" t="s">
        <v>292</v>
      </c>
      <c r="N50" s="2" t="s">
        <v>29</v>
      </c>
      <c r="O50" s="2" t="s">
        <v>500</v>
      </c>
      <c r="P50" s="2" t="s">
        <v>56</v>
      </c>
      <c r="Q50" s="2" t="s">
        <v>293</v>
      </c>
      <c r="R50" s="2" t="s">
        <v>531</v>
      </c>
      <c r="T50" s="2" t="s">
        <v>532</v>
      </c>
      <c r="U50" s="2" t="s">
        <v>296</v>
      </c>
      <c r="W50" s="2" t="s">
        <v>534</v>
      </c>
    </row>
    <row r="51" spans="1:23" x14ac:dyDescent="0.3">
      <c r="A51" s="2" t="s">
        <v>249</v>
      </c>
      <c r="B51" s="2" t="s">
        <v>420</v>
      </c>
      <c r="C51" s="2" t="s">
        <v>25</v>
      </c>
      <c r="D51" s="3">
        <f t="shared" si="0"/>
        <v>0.20673952641165758</v>
      </c>
      <c r="E51" s="4">
        <f t="shared" si="1"/>
        <v>7.2</v>
      </c>
      <c r="F51" s="4">
        <f t="shared" si="2"/>
        <v>8.6885245901639347</v>
      </c>
      <c r="G51" s="4">
        <f t="shared" si="3"/>
        <v>1.4885245901639346</v>
      </c>
      <c r="H51" s="2" t="s">
        <v>26</v>
      </c>
      <c r="I51" s="2" t="s">
        <v>27</v>
      </c>
      <c r="J51" s="4">
        <v>7.2</v>
      </c>
      <c r="K51" s="4">
        <v>8.6885245901639347</v>
      </c>
      <c r="L51" s="4">
        <v>1</v>
      </c>
      <c r="M51" s="2" t="s">
        <v>251</v>
      </c>
      <c r="N51" s="2" t="s">
        <v>29</v>
      </c>
      <c r="O51" s="2" t="s">
        <v>717</v>
      </c>
      <c r="P51" s="2" t="s">
        <v>718</v>
      </c>
      <c r="Q51" s="2" t="s">
        <v>252</v>
      </c>
      <c r="R51" s="2" t="s">
        <v>723</v>
      </c>
      <c r="T51" s="2" t="s">
        <v>724</v>
      </c>
      <c r="U51" s="2" t="s">
        <v>421</v>
      </c>
      <c r="W51" s="2" t="s">
        <v>725</v>
      </c>
    </row>
    <row r="52" spans="1:23" x14ac:dyDescent="0.3">
      <c r="A52" s="2" t="s">
        <v>357</v>
      </c>
      <c r="B52" s="2" t="s">
        <v>703</v>
      </c>
      <c r="C52" s="2" t="s">
        <v>25</v>
      </c>
      <c r="D52" s="3">
        <f t="shared" si="0"/>
        <v>0.15494622706242839</v>
      </c>
      <c r="E52" s="4">
        <f t="shared" si="1"/>
        <v>57.911999999999999</v>
      </c>
      <c r="F52" s="4">
        <f t="shared" si="2"/>
        <v>66.885245901639351</v>
      </c>
      <c r="G52" s="4">
        <f t="shared" si="3"/>
        <v>8.973245901639352</v>
      </c>
      <c r="H52" s="2" t="s">
        <v>26</v>
      </c>
      <c r="I52" s="2" t="s">
        <v>27</v>
      </c>
      <c r="J52" s="4">
        <v>7.2389999999999999</v>
      </c>
      <c r="K52" s="4">
        <v>8.3606557377049189</v>
      </c>
      <c r="L52" s="4">
        <v>8</v>
      </c>
      <c r="M52" s="2" t="s">
        <v>55</v>
      </c>
      <c r="N52" s="2" t="s">
        <v>29</v>
      </c>
      <c r="O52" s="2" t="s">
        <v>675</v>
      </c>
      <c r="P52" s="2" t="s">
        <v>676</v>
      </c>
      <c r="Q52" s="2" t="s">
        <v>56</v>
      </c>
      <c r="R52" s="2" t="s">
        <v>693</v>
      </c>
      <c r="T52" s="2" t="s">
        <v>694</v>
      </c>
      <c r="U52" s="2" t="s">
        <v>704</v>
      </c>
      <c r="W52" s="2" t="s">
        <v>695</v>
      </c>
    </row>
    <row r="53" spans="1:23" x14ac:dyDescent="0.3">
      <c r="A53" s="2" t="s">
        <v>249</v>
      </c>
      <c r="B53" s="2" t="s">
        <v>254</v>
      </c>
      <c r="C53" s="2" t="s">
        <v>25</v>
      </c>
      <c r="D53" s="3">
        <f t="shared" si="0"/>
        <v>0.19477632675743259</v>
      </c>
      <c r="E53" s="4">
        <f t="shared" si="1"/>
        <v>5.9</v>
      </c>
      <c r="F53" s="4">
        <f t="shared" si="2"/>
        <v>7.0491803278688527</v>
      </c>
      <c r="G53" s="4">
        <f t="shared" si="3"/>
        <v>1.1491803278688524</v>
      </c>
      <c r="H53" s="2" t="s">
        <v>26</v>
      </c>
      <c r="I53" s="2" t="s">
        <v>27</v>
      </c>
      <c r="J53" s="4">
        <v>5.9</v>
      </c>
      <c r="K53" s="4">
        <v>7.0491803278688527</v>
      </c>
      <c r="L53" s="4">
        <v>1</v>
      </c>
      <c r="M53" s="2" t="s">
        <v>251</v>
      </c>
      <c r="N53" s="2" t="s">
        <v>29</v>
      </c>
      <c r="O53" s="2" t="s">
        <v>717</v>
      </c>
      <c r="P53" s="2" t="s">
        <v>718</v>
      </c>
      <c r="Q53" s="2" t="s">
        <v>252</v>
      </c>
      <c r="R53" s="2" t="s">
        <v>723</v>
      </c>
      <c r="T53" s="2" t="s">
        <v>724</v>
      </c>
      <c r="U53" s="2" t="s">
        <v>257</v>
      </c>
      <c r="W53" s="2" t="s">
        <v>725</v>
      </c>
    </row>
    <row r="54" spans="1:23" x14ac:dyDescent="0.3">
      <c r="A54" s="2" t="s">
        <v>249</v>
      </c>
      <c r="B54" s="2" t="s">
        <v>254</v>
      </c>
      <c r="C54" s="2" t="s">
        <v>25</v>
      </c>
      <c r="D54" s="3">
        <f t="shared" si="0"/>
        <v>0.19477632675743259</v>
      </c>
      <c r="E54" s="4">
        <f t="shared" si="1"/>
        <v>11.8</v>
      </c>
      <c r="F54" s="4">
        <f t="shared" si="2"/>
        <v>14.098360655737705</v>
      </c>
      <c r="G54" s="4">
        <f t="shared" si="3"/>
        <v>2.2983606557377048</v>
      </c>
      <c r="H54" s="2" t="s">
        <v>26</v>
      </c>
      <c r="I54" s="2" t="s">
        <v>27</v>
      </c>
      <c r="J54" s="4">
        <v>5.9</v>
      </c>
      <c r="K54" s="4">
        <v>7.0491803278688527</v>
      </c>
      <c r="L54" s="4">
        <v>2</v>
      </c>
      <c r="M54" s="2" t="s">
        <v>251</v>
      </c>
      <c r="N54" s="2" t="s">
        <v>29</v>
      </c>
      <c r="O54" s="2" t="s">
        <v>717</v>
      </c>
      <c r="P54" s="2" t="s">
        <v>718</v>
      </c>
      <c r="Q54" s="2" t="s">
        <v>252</v>
      </c>
      <c r="R54" s="2" t="s">
        <v>729</v>
      </c>
      <c r="T54" s="2" t="s">
        <v>730</v>
      </c>
      <c r="U54" s="2" t="s">
        <v>257</v>
      </c>
      <c r="W54" s="2" t="s">
        <v>505</v>
      </c>
    </row>
    <row r="55" spans="1:23" x14ac:dyDescent="0.3">
      <c r="A55" s="2" t="s">
        <v>249</v>
      </c>
      <c r="B55" s="2" t="s">
        <v>422</v>
      </c>
      <c r="C55" s="2" t="s">
        <v>25</v>
      </c>
      <c r="D55" s="3">
        <f t="shared" si="0"/>
        <v>0.19477632675743259</v>
      </c>
      <c r="E55" s="4">
        <f t="shared" si="1"/>
        <v>5.9</v>
      </c>
      <c r="F55" s="4">
        <f t="shared" si="2"/>
        <v>7.0491803278688527</v>
      </c>
      <c r="G55" s="4">
        <f t="shared" si="3"/>
        <v>1.1491803278688524</v>
      </c>
      <c r="H55" s="2" t="s">
        <v>26</v>
      </c>
      <c r="I55" s="2" t="s">
        <v>27</v>
      </c>
      <c r="J55" s="4">
        <v>5.9</v>
      </c>
      <c r="K55" s="4">
        <v>7.0491803278688527</v>
      </c>
      <c r="L55" s="4">
        <v>1</v>
      </c>
      <c r="M55" s="2" t="s">
        <v>251</v>
      </c>
      <c r="N55" s="2" t="s">
        <v>29</v>
      </c>
      <c r="O55" s="2" t="s">
        <v>717</v>
      </c>
      <c r="P55" s="2" t="s">
        <v>718</v>
      </c>
      <c r="Q55" s="2" t="s">
        <v>252</v>
      </c>
      <c r="R55" s="2" t="s">
        <v>723</v>
      </c>
      <c r="T55" s="2" t="s">
        <v>724</v>
      </c>
      <c r="U55" s="2" t="s">
        <v>423</v>
      </c>
      <c r="W55" s="2" t="s">
        <v>725</v>
      </c>
    </row>
    <row r="56" spans="1:23" x14ac:dyDescent="0.3">
      <c r="A56" s="2" t="s">
        <v>249</v>
      </c>
      <c r="B56" s="2" t="s">
        <v>422</v>
      </c>
      <c r="C56" s="2" t="s">
        <v>25</v>
      </c>
      <c r="D56" s="3">
        <f t="shared" si="0"/>
        <v>0.19477632675743259</v>
      </c>
      <c r="E56" s="4">
        <f t="shared" si="1"/>
        <v>11.8</v>
      </c>
      <c r="F56" s="4">
        <f t="shared" si="2"/>
        <v>14.098360655737705</v>
      </c>
      <c r="G56" s="4">
        <f t="shared" si="3"/>
        <v>2.2983606557377048</v>
      </c>
      <c r="H56" s="2" t="s">
        <v>26</v>
      </c>
      <c r="I56" s="2" t="s">
        <v>27</v>
      </c>
      <c r="J56" s="4">
        <v>5.9</v>
      </c>
      <c r="K56" s="4">
        <v>7.0491803278688527</v>
      </c>
      <c r="L56" s="4">
        <v>2</v>
      </c>
      <c r="M56" s="2" t="s">
        <v>251</v>
      </c>
      <c r="N56" s="2" t="s">
        <v>29</v>
      </c>
      <c r="O56" s="2" t="s">
        <v>717</v>
      </c>
      <c r="P56" s="2" t="s">
        <v>718</v>
      </c>
      <c r="Q56" s="2" t="s">
        <v>252</v>
      </c>
      <c r="R56" s="2" t="s">
        <v>729</v>
      </c>
      <c r="T56" s="2" t="s">
        <v>730</v>
      </c>
      <c r="U56" s="2" t="s">
        <v>423</v>
      </c>
      <c r="W56" s="2" t="s">
        <v>505</v>
      </c>
    </row>
    <row r="57" spans="1:23" x14ac:dyDescent="0.3">
      <c r="A57" s="2" t="s">
        <v>249</v>
      </c>
      <c r="B57" s="2" t="s">
        <v>254</v>
      </c>
      <c r="C57" s="2" t="s">
        <v>25</v>
      </c>
      <c r="D57" s="3">
        <f t="shared" si="0"/>
        <v>0.24985466806185339</v>
      </c>
      <c r="E57" s="4">
        <f t="shared" si="1"/>
        <v>22.56</v>
      </c>
      <c r="F57" s="4">
        <f t="shared" si="2"/>
        <v>28.196721311475411</v>
      </c>
      <c r="G57" s="4">
        <f t="shared" si="3"/>
        <v>5.6367213114754122</v>
      </c>
      <c r="H57" s="2" t="s">
        <v>26</v>
      </c>
      <c r="I57" s="2" t="s">
        <v>27</v>
      </c>
      <c r="J57" s="4">
        <v>5.64</v>
      </c>
      <c r="K57" s="4">
        <v>7.0491803278688527</v>
      </c>
      <c r="L57" s="4">
        <v>4</v>
      </c>
      <c r="M57" s="2" t="s">
        <v>255</v>
      </c>
      <c r="N57" s="2" t="s">
        <v>29</v>
      </c>
      <c r="O57" s="2" t="s">
        <v>160</v>
      </c>
      <c r="P57" s="2" t="s">
        <v>161</v>
      </c>
      <c r="Q57" s="2" t="s">
        <v>256</v>
      </c>
      <c r="R57" s="2" t="s">
        <v>229</v>
      </c>
      <c r="T57" s="2" t="s">
        <v>230</v>
      </c>
      <c r="U57" s="2" t="s">
        <v>257</v>
      </c>
      <c r="W57" s="2" t="s">
        <v>232</v>
      </c>
    </row>
    <row r="58" spans="1:23" x14ac:dyDescent="0.3">
      <c r="A58" s="2" t="s">
        <v>249</v>
      </c>
      <c r="B58" s="2" t="s">
        <v>742</v>
      </c>
      <c r="C58" s="2" t="s">
        <v>25</v>
      </c>
      <c r="D58" s="3">
        <f t="shared" si="0"/>
        <v>0.24985466806185339</v>
      </c>
      <c r="E58" s="4">
        <f t="shared" si="1"/>
        <v>5.64</v>
      </c>
      <c r="F58" s="4">
        <f t="shared" si="2"/>
        <v>7.0491803278688527</v>
      </c>
      <c r="G58" s="4">
        <f t="shared" si="3"/>
        <v>1.4091803278688531</v>
      </c>
      <c r="H58" s="2" t="s">
        <v>26</v>
      </c>
      <c r="I58" s="2" t="s">
        <v>27</v>
      </c>
      <c r="J58" s="4">
        <v>5.64</v>
      </c>
      <c r="K58" s="4">
        <v>7.0491803278688527</v>
      </c>
      <c r="L58" s="4">
        <v>1</v>
      </c>
      <c r="M58" s="2" t="s">
        <v>255</v>
      </c>
      <c r="N58" s="2" t="s">
        <v>29</v>
      </c>
      <c r="O58" s="2" t="s">
        <v>717</v>
      </c>
      <c r="P58" s="2" t="s">
        <v>718</v>
      </c>
      <c r="Q58" s="2" t="s">
        <v>256</v>
      </c>
      <c r="R58" s="2" t="s">
        <v>723</v>
      </c>
      <c r="T58" s="2" t="s">
        <v>724</v>
      </c>
      <c r="U58" s="2" t="s">
        <v>743</v>
      </c>
      <c r="W58" s="2" t="s">
        <v>725</v>
      </c>
    </row>
    <row r="59" spans="1:23" x14ac:dyDescent="0.3">
      <c r="A59" s="2" t="s">
        <v>249</v>
      </c>
      <c r="B59" s="2" t="s">
        <v>742</v>
      </c>
      <c r="C59" s="2" t="s">
        <v>25</v>
      </c>
      <c r="D59" s="3">
        <f t="shared" si="0"/>
        <v>0.24985466806185339</v>
      </c>
      <c r="E59" s="4">
        <f t="shared" si="1"/>
        <v>11.28</v>
      </c>
      <c r="F59" s="4">
        <f t="shared" si="2"/>
        <v>14.098360655737705</v>
      </c>
      <c r="G59" s="4">
        <f t="shared" si="3"/>
        <v>2.8183606557377061</v>
      </c>
      <c r="H59" s="2" t="s">
        <v>26</v>
      </c>
      <c r="I59" s="2" t="s">
        <v>27</v>
      </c>
      <c r="J59" s="4">
        <v>5.64</v>
      </c>
      <c r="K59" s="4">
        <v>7.0491803278688527</v>
      </c>
      <c r="L59" s="4">
        <v>2</v>
      </c>
      <c r="M59" s="2" t="s">
        <v>255</v>
      </c>
      <c r="N59" s="2" t="s">
        <v>29</v>
      </c>
      <c r="O59" s="2" t="s">
        <v>717</v>
      </c>
      <c r="P59" s="2" t="s">
        <v>718</v>
      </c>
      <c r="Q59" s="2" t="s">
        <v>256</v>
      </c>
      <c r="R59" s="2" t="s">
        <v>729</v>
      </c>
      <c r="T59" s="2" t="s">
        <v>730</v>
      </c>
      <c r="U59" s="2" t="s">
        <v>743</v>
      </c>
      <c r="W59" s="2" t="s">
        <v>505</v>
      </c>
    </row>
    <row r="60" spans="1:23" x14ac:dyDescent="0.3">
      <c r="A60" s="2" t="s">
        <v>357</v>
      </c>
      <c r="B60" s="2" t="s">
        <v>372</v>
      </c>
      <c r="C60" s="2" t="s">
        <v>25</v>
      </c>
      <c r="D60" s="3">
        <f t="shared" si="0"/>
        <v>6.413574920908828E-2</v>
      </c>
      <c r="E60" s="4">
        <f t="shared" si="1"/>
        <v>5.7</v>
      </c>
      <c r="F60" s="4">
        <f t="shared" si="2"/>
        <v>6.0655737704918034</v>
      </c>
      <c r="G60" s="4">
        <f t="shared" si="3"/>
        <v>0.36557377049180317</v>
      </c>
      <c r="H60" s="2" t="s">
        <v>26</v>
      </c>
      <c r="I60" s="2" t="s">
        <v>27</v>
      </c>
      <c r="J60" s="4">
        <v>5.7</v>
      </c>
      <c r="K60" s="4">
        <v>6.0655737704918034</v>
      </c>
      <c r="L60" s="4">
        <v>1</v>
      </c>
      <c r="M60" s="2" t="s">
        <v>373</v>
      </c>
      <c r="N60" s="2" t="s">
        <v>29</v>
      </c>
      <c r="O60" s="2" t="s">
        <v>554</v>
      </c>
      <c r="P60" s="2" t="s">
        <v>63</v>
      </c>
      <c r="Q60" s="2" t="s">
        <v>374</v>
      </c>
      <c r="R60" s="2" t="s">
        <v>562</v>
      </c>
      <c r="T60" s="2" t="s">
        <v>556</v>
      </c>
      <c r="U60" s="2" t="s">
        <v>377</v>
      </c>
      <c r="W60" s="2" t="s">
        <v>557</v>
      </c>
    </row>
    <row r="61" spans="1:23" x14ac:dyDescent="0.3">
      <c r="A61" s="2" t="s">
        <v>357</v>
      </c>
      <c r="B61" s="2" t="s">
        <v>372</v>
      </c>
      <c r="C61" s="2" t="s">
        <v>25</v>
      </c>
      <c r="D61" s="3">
        <f t="shared" si="0"/>
        <v>6.413574920908828E-2</v>
      </c>
      <c r="E61" s="4">
        <f t="shared" si="1"/>
        <v>11.4</v>
      </c>
      <c r="F61" s="4">
        <f t="shared" si="2"/>
        <v>12.131147540983607</v>
      </c>
      <c r="G61" s="4">
        <f t="shared" si="3"/>
        <v>0.73114754098360635</v>
      </c>
      <c r="H61" s="2" t="s">
        <v>26</v>
      </c>
      <c r="I61" s="2" t="s">
        <v>27</v>
      </c>
      <c r="J61" s="4">
        <v>5.7</v>
      </c>
      <c r="K61" s="4">
        <v>6.0655737704918034</v>
      </c>
      <c r="L61" s="4">
        <v>2</v>
      </c>
      <c r="M61" s="2" t="s">
        <v>373</v>
      </c>
      <c r="N61" s="2" t="s">
        <v>29</v>
      </c>
      <c r="O61" s="2" t="s">
        <v>670</v>
      </c>
      <c r="P61" s="2" t="s">
        <v>671</v>
      </c>
      <c r="Q61" s="2" t="s">
        <v>374</v>
      </c>
      <c r="R61" s="2" t="s">
        <v>672</v>
      </c>
      <c r="T61" s="2" t="s">
        <v>673</v>
      </c>
      <c r="U61" s="2" t="s">
        <v>377</v>
      </c>
      <c r="W61" s="2" t="s">
        <v>674</v>
      </c>
    </row>
    <row r="62" spans="1:23" x14ac:dyDescent="0.3">
      <c r="A62" s="2" t="s">
        <v>357</v>
      </c>
      <c r="B62" s="2" t="s">
        <v>372</v>
      </c>
      <c r="C62" s="2" t="s">
        <v>25</v>
      </c>
      <c r="D62" s="3">
        <f t="shared" si="0"/>
        <v>6.413574920908828E-2</v>
      </c>
      <c r="E62" s="4">
        <f t="shared" si="1"/>
        <v>5.7</v>
      </c>
      <c r="F62" s="4">
        <f t="shared" si="2"/>
        <v>6.0655737704918034</v>
      </c>
      <c r="G62" s="4">
        <f t="shared" si="3"/>
        <v>0.36557377049180317</v>
      </c>
      <c r="H62" s="2" t="s">
        <v>26</v>
      </c>
      <c r="I62" s="2" t="s">
        <v>27</v>
      </c>
      <c r="J62" s="4">
        <v>5.7</v>
      </c>
      <c r="K62" s="4">
        <v>6.0655737704918034</v>
      </c>
      <c r="L62" s="4">
        <v>1</v>
      </c>
      <c r="M62" s="2" t="s">
        <v>373</v>
      </c>
      <c r="N62" s="2" t="s">
        <v>29</v>
      </c>
      <c r="O62" s="2" t="s">
        <v>675</v>
      </c>
      <c r="P62" s="2" t="s">
        <v>676</v>
      </c>
      <c r="Q62" s="2" t="s">
        <v>374</v>
      </c>
      <c r="R62" s="2" t="s">
        <v>677</v>
      </c>
      <c r="T62" s="2" t="s">
        <v>678</v>
      </c>
      <c r="U62" s="2" t="s">
        <v>377</v>
      </c>
      <c r="W62" s="2" t="s">
        <v>679</v>
      </c>
    </row>
    <row r="63" spans="1:23" x14ac:dyDescent="0.3">
      <c r="A63" s="2" t="s">
        <v>610</v>
      </c>
      <c r="B63" s="2" t="s">
        <v>611</v>
      </c>
      <c r="C63" s="2" t="s">
        <v>25</v>
      </c>
      <c r="D63" s="3">
        <f t="shared" si="0"/>
        <v>4.4117647058823518E-2</v>
      </c>
      <c r="E63" s="4">
        <f t="shared" si="1"/>
        <v>16.721311475409834</v>
      </c>
      <c r="F63" s="4">
        <f t="shared" si="2"/>
        <v>17.459016393442621</v>
      </c>
      <c r="G63" s="4">
        <f t="shared" si="3"/>
        <v>0.73770491803278659</v>
      </c>
      <c r="H63" s="2" t="s">
        <v>26</v>
      </c>
      <c r="I63" s="2" t="s">
        <v>27</v>
      </c>
      <c r="J63" s="4">
        <v>5.5737704918032787</v>
      </c>
      <c r="K63" s="4">
        <v>5.8196721311475406</v>
      </c>
      <c r="L63" s="4">
        <v>3</v>
      </c>
      <c r="M63" s="2" t="s">
        <v>612</v>
      </c>
      <c r="N63" s="2" t="s">
        <v>29</v>
      </c>
      <c r="O63" s="2" t="s">
        <v>554</v>
      </c>
      <c r="P63" s="2" t="s">
        <v>63</v>
      </c>
      <c r="Q63" s="2" t="s">
        <v>613</v>
      </c>
      <c r="R63" s="2" t="s">
        <v>582</v>
      </c>
      <c r="T63" s="2" t="s">
        <v>556</v>
      </c>
      <c r="U63" s="2" t="s">
        <v>614</v>
      </c>
      <c r="W63" s="2" t="s">
        <v>557</v>
      </c>
    </row>
    <row r="64" spans="1:23" x14ac:dyDescent="0.3">
      <c r="A64" s="2" t="s">
        <v>249</v>
      </c>
      <c r="B64" s="2" t="s">
        <v>580</v>
      </c>
      <c r="C64" s="2" t="s">
        <v>25</v>
      </c>
      <c r="D64" s="3">
        <f t="shared" si="0"/>
        <v>0.17342536669542707</v>
      </c>
      <c r="E64" s="4">
        <f t="shared" si="1"/>
        <v>9.5</v>
      </c>
      <c r="F64" s="4">
        <f t="shared" si="2"/>
        <v>11.147540983606557</v>
      </c>
      <c r="G64" s="4">
        <f t="shared" si="3"/>
        <v>1.6475409836065573</v>
      </c>
      <c r="H64" s="2" t="s">
        <v>26</v>
      </c>
      <c r="I64" s="2" t="s">
        <v>27</v>
      </c>
      <c r="J64" s="4">
        <v>4.75</v>
      </c>
      <c r="K64" s="4">
        <v>5.5737704918032787</v>
      </c>
      <c r="L64" s="4">
        <v>2</v>
      </c>
      <c r="M64" s="2" t="s">
        <v>243</v>
      </c>
      <c r="N64" s="2" t="s">
        <v>29</v>
      </c>
      <c r="O64" s="2" t="s">
        <v>554</v>
      </c>
      <c r="P64" s="2" t="s">
        <v>63</v>
      </c>
      <c r="Q64" s="2" t="s">
        <v>244</v>
      </c>
      <c r="R64" s="2" t="s">
        <v>555</v>
      </c>
      <c r="T64" s="2" t="s">
        <v>556</v>
      </c>
      <c r="U64" s="2" t="s">
        <v>581</v>
      </c>
      <c r="W64" s="2" t="s">
        <v>557</v>
      </c>
    </row>
    <row r="65" spans="1:23" x14ac:dyDescent="0.3">
      <c r="A65" s="2" t="s">
        <v>249</v>
      </c>
      <c r="B65" s="2" t="s">
        <v>258</v>
      </c>
      <c r="C65" s="2" t="s">
        <v>25</v>
      </c>
      <c r="D65" s="3">
        <f t="shared" si="0"/>
        <v>0.19535519125683046</v>
      </c>
      <c r="E65" s="4">
        <f t="shared" si="1"/>
        <v>25.92</v>
      </c>
      <c r="F65" s="4">
        <f t="shared" si="2"/>
        <v>30.983606557377048</v>
      </c>
      <c r="G65" s="4">
        <f t="shared" si="3"/>
        <v>5.0636065573770459</v>
      </c>
      <c r="H65" s="2" t="s">
        <v>26</v>
      </c>
      <c r="I65" s="2" t="s">
        <v>27</v>
      </c>
      <c r="J65" s="4">
        <v>4.32</v>
      </c>
      <c r="K65" s="4">
        <v>5.1639344262295079</v>
      </c>
      <c r="L65" s="4">
        <v>6</v>
      </c>
      <c r="M65" s="2" t="s">
        <v>55</v>
      </c>
      <c r="N65" s="2" t="s">
        <v>29</v>
      </c>
      <c r="O65" s="2" t="s">
        <v>160</v>
      </c>
      <c r="P65" s="2" t="s">
        <v>161</v>
      </c>
      <c r="Q65" s="2" t="s">
        <v>56</v>
      </c>
      <c r="R65" s="2" t="s">
        <v>176</v>
      </c>
      <c r="T65" s="2" t="s">
        <v>177</v>
      </c>
      <c r="U65" s="2" t="s">
        <v>259</v>
      </c>
      <c r="W65" s="2" t="s">
        <v>179</v>
      </c>
    </row>
    <row r="66" spans="1:23" x14ac:dyDescent="0.3">
      <c r="A66" s="2" t="s">
        <v>158</v>
      </c>
      <c r="B66" s="2" t="s">
        <v>318</v>
      </c>
      <c r="C66" s="2" t="s">
        <v>25</v>
      </c>
      <c r="D66" s="3">
        <f t="shared" si="0"/>
        <v>6.2166820313439494E-2</v>
      </c>
      <c r="E66" s="4">
        <f t="shared" si="1"/>
        <v>4.09</v>
      </c>
      <c r="F66" s="4">
        <f t="shared" si="2"/>
        <v>4.3442622950819674</v>
      </c>
      <c r="G66" s="4">
        <f t="shared" si="3"/>
        <v>0.25426229508196752</v>
      </c>
      <c r="H66" s="2" t="s">
        <v>26</v>
      </c>
      <c r="I66" s="2" t="s">
        <v>27</v>
      </c>
      <c r="J66" s="4">
        <v>4.09</v>
      </c>
      <c r="K66" s="4">
        <v>4.3442622950819674</v>
      </c>
      <c r="L66" s="4">
        <v>1</v>
      </c>
      <c r="M66" s="2" t="s">
        <v>319</v>
      </c>
      <c r="N66" s="2" t="s">
        <v>311</v>
      </c>
      <c r="O66" s="2" t="s">
        <v>312</v>
      </c>
      <c r="P66" s="2" t="s">
        <v>313</v>
      </c>
      <c r="Q66" s="2" t="s">
        <v>313</v>
      </c>
      <c r="R66" s="2" t="s">
        <v>314</v>
      </c>
      <c r="T66" s="2" t="s">
        <v>315</v>
      </c>
      <c r="U66" s="2" t="s">
        <v>320</v>
      </c>
      <c r="W66" s="2" t="s">
        <v>317</v>
      </c>
    </row>
    <row r="67" spans="1:23" x14ac:dyDescent="0.3">
      <c r="A67" s="2" t="s">
        <v>158</v>
      </c>
      <c r="B67" s="2" t="s">
        <v>242</v>
      </c>
      <c r="C67" s="2" t="s">
        <v>25</v>
      </c>
      <c r="D67" s="3">
        <f t="shared" ref="D67:D130" si="4">G67/E67</f>
        <v>6.3466902100848821E-2</v>
      </c>
      <c r="E67" s="4">
        <f t="shared" ref="E67:E130" si="5">J67*L67</f>
        <v>16.34</v>
      </c>
      <c r="F67" s="4">
        <f t="shared" ref="F67:F130" si="6">K67*L67</f>
        <v>17.377049180327869</v>
      </c>
      <c r="G67" s="4">
        <f t="shared" ref="G67:G130" si="7">F67-E67</f>
        <v>1.0370491803278696</v>
      </c>
      <c r="H67" s="2" t="s">
        <v>26</v>
      </c>
      <c r="I67" s="2" t="s">
        <v>27</v>
      </c>
      <c r="J67" s="4">
        <v>4.085</v>
      </c>
      <c r="K67" s="4">
        <v>4.3442622950819674</v>
      </c>
      <c r="L67" s="4">
        <v>4</v>
      </c>
      <c r="M67" s="2" t="s">
        <v>243</v>
      </c>
      <c r="N67" s="2" t="s">
        <v>29</v>
      </c>
      <c r="O67" s="2" t="s">
        <v>160</v>
      </c>
      <c r="P67" s="2" t="s">
        <v>161</v>
      </c>
      <c r="Q67" s="2" t="s">
        <v>244</v>
      </c>
      <c r="R67" s="2" t="s">
        <v>245</v>
      </c>
      <c r="T67" s="2" t="s">
        <v>246</v>
      </c>
      <c r="U67" s="2" t="s">
        <v>247</v>
      </c>
      <c r="W67" s="2" t="s">
        <v>248</v>
      </c>
    </row>
    <row r="68" spans="1:23" x14ac:dyDescent="0.3">
      <c r="A68" s="2" t="s">
        <v>158</v>
      </c>
      <c r="B68" s="2" t="s">
        <v>242</v>
      </c>
      <c r="C68" s="2" t="s">
        <v>25</v>
      </c>
      <c r="D68" s="3">
        <f t="shared" si="4"/>
        <v>6.3466902100848821E-2</v>
      </c>
      <c r="E68" s="4">
        <f t="shared" si="5"/>
        <v>8.17</v>
      </c>
      <c r="F68" s="4">
        <f t="shared" si="6"/>
        <v>8.6885245901639347</v>
      </c>
      <c r="G68" s="4">
        <f t="shared" si="7"/>
        <v>0.51852459016393482</v>
      </c>
      <c r="H68" s="2" t="s">
        <v>26</v>
      </c>
      <c r="I68" s="2" t="s">
        <v>27</v>
      </c>
      <c r="J68" s="4">
        <v>4.085</v>
      </c>
      <c r="K68" s="4">
        <v>4.3442622950819674</v>
      </c>
      <c r="L68" s="4">
        <v>2</v>
      </c>
      <c r="M68" s="2" t="s">
        <v>243</v>
      </c>
      <c r="N68" s="2" t="s">
        <v>311</v>
      </c>
      <c r="O68" s="2" t="s">
        <v>312</v>
      </c>
      <c r="P68" s="2" t="s">
        <v>313</v>
      </c>
      <c r="Q68" s="2" t="s">
        <v>244</v>
      </c>
      <c r="R68" s="2" t="s">
        <v>314</v>
      </c>
      <c r="T68" s="2" t="s">
        <v>315</v>
      </c>
      <c r="U68" s="2" t="s">
        <v>247</v>
      </c>
      <c r="W68" s="2" t="s">
        <v>317</v>
      </c>
    </row>
    <row r="69" spans="1:23" x14ac:dyDescent="0.3">
      <c r="A69" s="2" t="s">
        <v>158</v>
      </c>
      <c r="B69" s="2" t="s">
        <v>321</v>
      </c>
      <c r="C69" s="2" t="s">
        <v>25</v>
      </c>
      <c r="D69" s="3">
        <f t="shared" si="4"/>
        <v>6.3466902100848821E-2</v>
      </c>
      <c r="E69" s="4">
        <f t="shared" si="5"/>
        <v>4.085</v>
      </c>
      <c r="F69" s="4">
        <f t="shared" si="6"/>
        <v>4.3442622950819674</v>
      </c>
      <c r="G69" s="4">
        <f t="shared" si="7"/>
        <v>0.25926229508196741</v>
      </c>
      <c r="H69" s="2" t="s">
        <v>26</v>
      </c>
      <c r="I69" s="2" t="s">
        <v>27</v>
      </c>
      <c r="J69" s="4">
        <v>4.085</v>
      </c>
      <c r="K69" s="4">
        <v>4.3442622950819674</v>
      </c>
      <c r="L69" s="4">
        <v>1</v>
      </c>
      <c r="M69" s="2" t="s">
        <v>261</v>
      </c>
      <c r="N69" s="2" t="s">
        <v>311</v>
      </c>
      <c r="O69" s="2" t="s">
        <v>312</v>
      </c>
      <c r="P69" s="2" t="s">
        <v>313</v>
      </c>
      <c r="Q69" s="2" t="s">
        <v>262</v>
      </c>
      <c r="R69" s="2" t="s">
        <v>314</v>
      </c>
      <c r="T69" s="2" t="s">
        <v>315</v>
      </c>
      <c r="U69" s="2" t="s">
        <v>322</v>
      </c>
      <c r="W69" s="2" t="s">
        <v>317</v>
      </c>
    </row>
    <row r="70" spans="1:23" x14ac:dyDescent="0.3">
      <c r="A70" s="2" t="s">
        <v>158</v>
      </c>
      <c r="B70" s="2" t="s">
        <v>242</v>
      </c>
      <c r="C70" s="2" t="s">
        <v>25</v>
      </c>
      <c r="D70" s="3">
        <f t="shared" si="4"/>
        <v>6.3466902100848821E-2</v>
      </c>
      <c r="E70" s="4">
        <f t="shared" si="5"/>
        <v>12.254999999999999</v>
      </c>
      <c r="F70" s="4">
        <f t="shared" si="6"/>
        <v>13.032786885245901</v>
      </c>
      <c r="G70" s="4">
        <f t="shared" si="7"/>
        <v>0.77778688524590223</v>
      </c>
      <c r="H70" s="2" t="s">
        <v>26</v>
      </c>
      <c r="I70" s="2" t="s">
        <v>27</v>
      </c>
      <c r="J70" s="4">
        <v>4.085</v>
      </c>
      <c r="K70" s="4">
        <v>4.3442622950819674</v>
      </c>
      <c r="L70" s="4">
        <v>3</v>
      </c>
      <c r="M70" s="2" t="s">
        <v>243</v>
      </c>
      <c r="N70" s="2" t="s">
        <v>29</v>
      </c>
      <c r="O70" s="2" t="s">
        <v>554</v>
      </c>
      <c r="P70" s="2" t="s">
        <v>63</v>
      </c>
      <c r="Q70" s="2" t="s">
        <v>244</v>
      </c>
      <c r="R70" s="2" t="s">
        <v>582</v>
      </c>
      <c r="T70" s="2" t="s">
        <v>556</v>
      </c>
      <c r="U70" s="2" t="s">
        <v>247</v>
      </c>
      <c r="W70" s="2" t="s">
        <v>557</v>
      </c>
    </row>
    <row r="71" spans="1:23" x14ac:dyDescent="0.3">
      <c r="A71" s="2" t="s">
        <v>158</v>
      </c>
      <c r="B71" s="2" t="s">
        <v>310</v>
      </c>
      <c r="C71" s="2" t="s">
        <v>25</v>
      </c>
      <c r="D71" s="3">
        <f t="shared" si="4"/>
        <v>7.4780379782772785E-2</v>
      </c>
      <c r="E71" s="4">
        <f t="shared" si="5"/>
        <v>4.0419999999999998</v>
      </c>
      <c r="F71" s="4">
        <f t="shared" si="6"/>
        <v>4.3442622950819674</v>
      </c>
      <c r="G71" s="4">
        <f t="shared" si="7"/>
        <v>0.30226229508196756</v>
      </c>
      <c r="H71" s="2" t="s">
        <v>26</v>
      </c>
      <c r="I71" s="2" t="s">
        <v>27</v>
      </c>
      <c r="J71" s="4">
        <v>4.0419999999999998</v>
      </c>
      <c r="K71" s="4">
        <v>4.3442622950819674</v>
      </c>
      <c r="L71" s="4">
        <v>1</v>
      </c>
      <c r="M71" s="2" t="s">
        <v>255</v>
      </c>
      <c r="N71" s="2" t="s">
        <v>311</v>
      </c>
      <c r="O71" s="2" t="s">
        <v>312</v>
      </c>
      <c r="P71" s="2" t="s">
        <v>313</v>
      </c>
      <c r="Q71" s="2" t="s">
        <v>256</v>
      </c>
      <c r="R71" s="2" t="s">
        <v>314</v>
      </c>
      <c r="T71" s="2" t="s">
        <v>315</v>
      </c>
      <c r="U71" s="2" t="s">
        <v>316</v>
      </c>
      <c r="W71" s="2" t="s">
        <v>317</v>
      </c>
    </row>
    <row r="72" spans="1:23" x14ac:dyDescent="0.3">
      <c r="A72" s="2" t="s">
        <v>158</v>
      </c>
      <c r="B72" s="2" t="s">
        <v>323</v>
      </c>
      <c r="C72" s="2" t="s">
        <v>25</v>
      </c>
      <c r="D72" s="3">
        <f t="shared" si="4"/>
        <v>7.4780379782772785E-2</v>
      </c>
      <c r="E72" s="4">
        <f t="shared" si="5"/>
        <v>4.0419999999999998</v>
      </c>
      <c r="F72" s="4">
        <f t="shared" si="6"/>
        <v>4.3442622950819674</v>
      </c>
      <c r="G72" s="4">
        <f t="shared" si="7"/>
        <v>0.30226229508196756</v>
      </c>
      <c r="H72" s="2" t="s">
        <v>26</v>
      </c>
      <c r="I72" s="2" t="s">
        <v>27</v>
      </c>
      <c r="J72" s="4">
        <v>4.0419999999999998</v>
      </c>
      <c r="K72" s="4">
        <v>4.3442622950819674</v>
      </c>
      <c r="L72" s="4">
        <v>1</v>
      </c>
      <c r="M72" s="2" t="s">
        <v>255</v>
      </c>
      <c r="N72" s="2" t="s">
        <v>311</v>
      </c>
      <c r="O72" s="2" t="s">
        <v>312</v>
      </c>
      <c r="P72" s="2" t="s">
        <v>313</v>
      </c>
      <c r="Q72" s="2" t="s">
        <v>256</v>
      </c>
      <c r="R72" s="2" t="s">
        <v>314</v>
      </c>
      <c r="T72" s="2" t="s">
        <v>315</v>
      </c>
      <c r="U72" s="2" t="s">
        <v>324</v>
      </c>
      <c r="W72" s="2" t="s">
        <v>317</v>
      </c>
    </row>
    <row r="73" spans="1:23" x14ac:dyDescent="0.3">
      <c r="A73" s="2" t="s">
        <v>158</v>
      </c>
      <c r="B73" s="2" t="s">
        <v>310</v>
      </c>
      <c r="C73" s="2" t="s">
        <v>25</v>
      </c>
      <c r="D73" s="3">
        <f t="shared" si="4"/>
        <v>7.4780379782772702E-2</v>
      </c>
      <c r="E73" s="4">
        <f t="shared" si="5"/>
        <v>12.125999999999999</v>
      </c>
      <c r="F73" s="4">
        <f t="shared" si="6"/>
        <v>13.032786885245901</v>
      </c>
      <c r="G73" s="4">
        <f t="shared" si="7"/>
        <v>0.90678688524590179</v>
      </c>
      <c r="H73" s="2" t="s">
        <v>26</v>
      </c>
      <c r="I73" s="2" t="s">
        <v>27</v>
      </c>
      <c r="J73" s="4">
        <v>4.0419999999999998</v>
      </c>
      <c r="K73" s="4">
        <v>4.3442622950819674</v>
      </c>
      <c r="L73" s="4">
        <v>3</v>
      </c>
      <c r="M73" s="2" t="s">
        <v>255</v>
      </c>
      <c r="N73" s="2" t="s">
        <v>29</v>
      </c>
      <c r="O73" s="2" t="s">
        <v>554</v>
      </c>
      <c r="P73" s="2" t="s">
        <v>63</v>
      </c>
      <c r="Q73" s="2" t="s">
        <v>256</v>
      </c>
      <c r="R73" s="2" t="s">
        <v>582</v>
      </c>
      <c r="T73" s="2" t="s">
        <v>556</v>
      </c>
      <c r="U73" s="2" t="s">
        <v>316</v>
      </c>
      <c r="W73" s="2" t="s">
        <v>557</v>
      </c>
    </row>
    <row r="74" spans="1:23" x14ac:dyDescent="0.3">
      <c r="A74" s="2" t="s">
        <v>130</v>
      </c>
      <c r="B74" s="2" t="s">
        <v>139</v>
      </c>
      <c r="C74" s="2" t="s">
        <v>25</v>
      </c>
      <c r="D74" s="3">
        <f t="shared" si="4"/>
        <v>0.26258800238376606</v>
      </c>
      <c r="E74" s="4">
        <f t="shared" si="5"/>
        <v>3.246</v>
      </c>
      <c r="F74" s="4">
        <f t="shared" si="6"/>
        <v>4.0983606557377046</v>
      </c>
      <c r="G74" s="4">
        <f t="shared" si="7"/>
        <v>0.85236065573770459</v>
      </c>
      <c r="H74" s="2" t="s">
        <v>26</v>
      </c>
      <c r="I74" s="2" t="s">
        <v>27</v>
      </c>
      <c r="J74" s="4">
        <v>3.246</v>
      </c>
      <c r="K74" s="4">
        <v>4.0983606557377046</v>
      </c>
      <c r="L74" s="4">
        <v>1</v>
      </c>
      <c r="M74" s="2" t="s">
        <v>55</v>
      </c>
      <c r="N74" s="2" t="s">
        <v>29</v>
      </c>
      <c r="O74" s="2" t="s">
        <v>30</v>
      </c>
      <c r="P74" s="2" t="s">
        <v>31</v>
      </c>
      <c r="Q74" s="2" t="s">
        <v>56</v>
      </c>
      <c r="R74" s="2" t="s">
        <v>33</v>
      </c>
      <c r="T74" s="2" t="s">
        <v>34</v>
      </c>
      <c r="U74" s="2" t="s">
        <v>140</v>
      </c>
      <c r="W74" s="2" t="s">
        <v>36</v>
      </c>
    </row>
    <row r="75" spans="1:23" ht="20.399999999999999" x14ac:dyDescent="0.3">
      <c r="A75" s="2" t="s">
        <v>108</v>
      </c>
      <c r="B75" s="2" t="s">
        <v>109</v>
      </c>
      <c r="C75" s="2" t="s">
        <v>25</v>
      </c>
      <c r="D75" s="3">
        <f t="shared" si="4"/>
        <v>0.12499999999999993</v>
      </c>
      <c r="E75" s="4">
        <f t="shared" si="5"/>
        <v>3.278688524590164</v>
      </c>
      <c r="F75" s="4">
        <f t="shared" si="6"/>
        <v>3.6885245901639343</v>
      </c>
      <c r="G75" s="4">
        <f t="shared" si="7"/>
        <v>0.40983606557377028</v>
      </c>
      <c r="H75" s="2" t="s">
        <v>26</v>
      </c>
      <c r="I75" s="2" t="s">
        <v>27</v>
      </c>
      <c r="J75" s="4">
        <v>3.278688524590164</v>
      </c>
      <c r="K75" s="4">
        <v>3.6885245901639343</v>
      </c>
      <c r="L75" s="4">
        <v>1</v>
      </c>
      <c r="M75" s="2" t="s">
        <v>110</v>
      </c>
      <c r="N75" s="2" t="s">
        <v>29</v>
      </c>
      <c r="O75" s="2" t="s">
        <v>30</v>
      </c>
      <c r="P75" s="2" t="s">
        <v>31</v>
      </c>
      <c r="Q75" s="2" t="s">
        <v>111</v>
      </c>
      <c r="R75" s="2" t="s">
        <v>112</v>
      </c>
      <c r="T75" s="2" t="s">
        <v>113</v>
      </c>
      <c r="U75" s="2" t="s">
        <v>114</v>
      </c>
      <c r="W75" s="2" t="s">
        <v>115</v>
      </c>
    </row>
    <row r="76" spans="1:23" ht="20.399999999999999" x14ac:dyDescent="0.3">
      <c r="A76" s="2" t="s">
        <v>108</v>
      </c>
      <c r="B76" s="2" t="s">
        <v>109</v>
      </c>
      <c r="C76" s="2" t="s">
        <v>25</v>
      </c>
      <c r="D76" s="3">
        <f t="shared" si="4"/>
        <v>0.12499999999999993</v>
      </c>
      <c r="E76" s="4">
        <f t="shared" si="5"/>
        <v>3.278688524590164</v>
      </c>
      <c r="F76" s="4">
        <f t="shared" si="6"/>
        <v>3.6885245901639343</v>
      </c>
      <c r="G76" s="4">
        <f t="shared" si="7"/>
        <v>0.40983606557377028</v>
      </c>
      <c r="H76" s="2" t="s">
        <v>26</v>
      </c>
      <c r="I76" s="2" t="s">
        <v>27</v>
      </c>
      <c r="J76" s="4">
        <v>3.278688524590164</v>
      </c>
      <c r="K76" s="4">
        <v>3.6885245901639343</v>
      </c>
      <c r="L76" s="4">
        <v>1</v>
      </c>
      <c r="M76" s="2" t="s">
        <v>110</v>
      </c>
      <c r="N76" s="2" t="s">
        <v>29</v>
      </c>
      <c r="O76" s="2" t="s">
        <v>30</v>
      </c>
      <c r="P76" s="2" t="s">
        <v>31</v>
      </c>
      <c r="Q76" s="2" t="s">
        <v>111</v>
      </c>
      <c r="R76" s="2" t="s">
        <v>116</v>
      </c>
      <c r="T76" s="2" t="s">
        <v>117</v>
      </c>
      <c r="U76" s="2" t="s">
        <v>114</v>
      </c>
      <c r="W76" s="2" t="s">
        <v>118</v>
      </c>
    </row>
    <row r="77" spans="1:23" ht="20.399999999999999" x14ac:dyDescent="0.3">
      <c r="A77" s="2" t="s">
        <v>108</v>
      </c>
      <c r="B77" s="2" t="s">
        <v>109</v>
      </c>
      <c r="C77" s="2" t="s">
        <v>25</v>
      </c>
      <c r="D77" s="3">
        <f t="shared" si="4"/>
        <v>0.12499999999999993</v>
      </c>
      <c r="E77" s="4">
        <f t="shared" si="5"/>
        <v>3.278688524590164</v>
      </c>
      <c r="F77" s="4">
        <f t="shared" si="6"/>
        <v>3.6885245901639343</v>
      </c>
      <c r="G77" s="4">
        <f t="shared" si="7"/>
        <v>0.40983606557377028</v>
      </c>
      <c r="H77" s="2" t="s">
        <v>26</v>
      </c>
      <c r="I77" s="2" t="s">
        <v>27</v>
      </c>
      <c r="J77" s="4">
        <v>3.278688524590164</v>
      </c>
      <c r="K77" s="4">
        <v>3.6885245901639343</v>
      </c>
      <c r="L77" s="4">
        <v>1</v>
      </c>
      <c r="M77" s="2" t="s">
        <v>110</v>
      </c>
      <c r="N77" s="2" t="s">
        <v>29</v>
      </c>
      <c r="O77" s="2" t="s">
        <v>30</v>
      </c>
      <c r="P77" s="2" t="s">
        <v>31</v>
      </c>
      <c r="Q77" s="2" t="s">
        <v>111</v>
      </c>
      <c r="R77" s="2" t="s">
        <v>119</v>
      </c>
      <c r="T77" s="2" t="s">
        <v>120</v>
      </c>
      <c r="U77" s="2" t="s">
        <v>114</v>
      </c>
      <c r="W77" s="2" t="s">
        <v>121</v>
      </c>
    </row>
    <row r="78" spans="1:23" ht="20.399999999999999" x14ac:dyDescent="0.3">
      <c r="A78" s="2" t="s">
        <v>108</v>
      </c>
      <c r="B78" s="2" t="s">
        <v>122</v>
      </c>
      <c r="C78" s="2" t="s">
        <v>25</v>
      </c>
      <c r="D78" s="3">
        <f t="shared" si="4"/>
        <v>0.12499999999999993</v>
      </c>
      <c r="E78" s="4">
        <f t="shared" si="5"/>
        <v>3.278688524590164</v>
      </c>
      <c r="F78" s="4">
        <f t="shared" si="6"/>
        <v>3.6885245901639343</v>
      </c>
      <c r="G78" s="4">
        <f t="shared" si="7"/>
        <v>0.40983606557377028</v>
      </c>
      <c r="H78" s="2" t="s">
        <v>26</v>
      </c>
      <c r="I78" s="2" t="s">
        <v>27</v>
      </c>
      <c r="J78" s="4">
        <v>3.278688524590164</v>
      </c>
      <c r="K78" s="4">
        <v>3.6885245901639343</v>
      </c>
      <c r="L78" s="4">
        <v>1</v>
      </c>
      <c r="M78" s="2" t="s">
        <v>123</v>
      </c>
      <c r="N78" s="2" t="s">
        <v>29</v>
      </c>
      <c r="O78" s="2" t="s">
        <v>30</v>
      </c>
      <c r="P78" s="2" t="s">
        <v>31</v>
      </c>
      <c r="Q78" s="2" t="s">
        <v>124</v>
      </c>
      <c r="R78" s="2" t="s">
        <v>112</v>
      </c>
      <c r="T78" s="2" t="s">
        <v>113</v>
      </c>
      <c r="U78" s="2" t="s">
        <v>125</v>
      </c>
      <c r="W78" s="2" t="s">
        <v>115</v>
      </c>
    </row>
    <row r="79" spans="1:23" ht="20.399999999999999" x14ac:dyDescent="0.3">
      <c r="A79" s="2" t="s">
        <v>108</v>
      </c>
      <c r="B79" s="2" t="s">
        <v>126</v>
      </c>
      <c r="C79" s="2" t="s">
        <v>25</v>
      </c>
      <c r="D79" s="3">
        <f t="shared" si="4"/>
        <v>0.12499999999999993</v>
      </c>
      <c r="E79" s="4">
        <f t="shared" si="5"/>
        <v>3.278688524590164</v>
      </c>
      <c r="F79" s="4">
        <f t="shared" si="6"/>
        <v>3.6885245901639343</v>
      </c>
      <c r="G79" s="4">
        <f t="shared" si="7"/>
        <v>0.40983606557377028</v>
      </c>
      <c r="H79" s="2" t="s">
        <v>26</v>
      </c>
      <c r="I79" s="2" t="s">
        <v>27</v>
      </c>
      <c r="J79" s="4">
        <v>3.278688524590164</v>
      </c>
      <c r="K79" s="4">
        <v>3.6885245901639343</v>
      </c>
      <c r="L79" s="4">
        <v>1</v>
      </c>
      <c r="M79" s="2" t="s">
        <v>123</v>
      </c>
      <c r="N79" s="2" t="s">
        <v>29</v>
      </c>
      <c r="O79" s="2" t="s">
        <v>30</v>
      </c>
      <c r="P79" s="2" t="s">
        <v>31</v>
      </c>
      <c r="Q79" s="2" t="s">
        <v>124</v>
      </c>
      <c r="R79" s="2" t="s">
        <v>116</v>
      </c>
      <c r="T79" s="2" t="s">
        <v>117</v>
      </c>
      <c r="U79" s="2" t="s">
        <v>127</v>
      </c>
      <c r="W79" s="2" t="s">
        <v>118</v>
      </c>
    </row>
    <row r="80" spans="1:23" ht="20.399999999999999" x14ac:dyDescent="0.3">
      <c r="A80" s="2" t="s">
        <v>108</v>
      </c>
      <c r="B80" s="2" t="s">
        <v>126</v>
      </c>
      <c r="C80" s="2" t="s">
        <v>25</v>
      </c>
      <c r="D80" s="3">
        <f t="shared" si="4"/>
        <v>0.12499999999999993</v>
      </c>
      <c r="E80" s="4">
        <f t="shared" si="5"/>
        <v>3.278688524590164</v>
      </c>
      <c r="F80" s="4">
        <f t="shared" si="6"/>
        <v>3.6885245901639343</v>
      </c>
      <c r="G80" s="4">
        <f t="shared" si="7"/>
        <v>0.40983606557377028</v>
      </c>
      <c r="H80" s="2" t="s">
        <v>26</v>
      </c>
      <c r="I80" s="2" t="s">
        <v>27</v>
      </c>
      <c r="J80" s="4">
        <v>3.278688524590164</v>
      </c>
      <c r="K80" s="4">
        <v>3.6885245901639343</v>
      </c>
      <c r="L80" s="4">
        <v>1</v>
      </c>
      <c r="M80" s="2" t="s">
        <v>123</v>
      </c>
      <c r="N80" s="2" t="s">
        <v>29</v>
      </c>
      <c r="O80" s="2" t="s">
        <v>30</v>
      </c>
      <c r="P80" s="2" t="s">
        <v>31</v>
      </c>
      <c r="Q80" s="2" t="s">
        <v>124</v>
      </c>
      <c r="R80" s="2" t="s">
        <v>119</v>
      </c>
      <c r="T80" s="2" t="s">
        <v>120</v>
      </c>
      <c r="U80" s="2" t="s">
        <v>127</v>
      </c>
      <c r="W80" s="2" t="s">
        <v>121</v>
      </c>
    </row>
    <row r="81" spans="1:23" x14ac:dyDescent="0.3">
      <c r="A81" s="2" t="s">
        <v>225</v>
      </c>
      <c r="B81" s="2" t="s">
        <v>233</v>
      </c>
      <c r="C81" s="2" t="s">
        <v>25</v>
      </c>
      <c r="D81" s="3">
        <f t="shared" si="4"/>
        <v>0.18711136235161105</v>
      </c>
      <c r="E81" s="4">
        <f t="shared" si="5"/>
        <v>2.9</v>
      </c>
      <c r="F81" s="4">
        <f t="shared" si="6"/>
        <v>3.442622950819672</v>
      </c>
      <c r="G81" s="4">
        <f t="shared" si="7"/>
        <v>0.54262295081967205</v>
      </c>
      <c r="H81" s="2" t="s">
        <v>26</v>
      </c>
      <c r="I81" s="2" t="s">
        <v>27</v>
      </c>
      <c r="J81" s="4">
        <v>2.9</v>
      </c>
      <c r="K81" s="4">
        <v>3.442622950819672</v>
      </c>
      <c r="L81" s="4">
        <v>1</v>
      </c>
      <c r="M81" s="2" t="s">
        <v>227</v>
      </c>
      <c r="N81" s="2" t="s">
        <v>29</v>
      </c>
      <c r="O81" s="2" t="s">
        <v>160</v>
      </c>
      <c r="P81" s="2" t="s">
        <v>161</v>
      </c>
      <c r="Q81" s="2" t="s">
        <v>228</v>
      </c>
      <c r="R81" s="2" t="s">
        <v>229</v>
      </c>
      <c r="T81" s="2" t="s">
        <v>230</v>
      </c>
      <c r="U81" s="2" t="s">
        <v>234</v>
      </c>
      <c r="W81" s="2" t="s">
        <v>232</v>
      </c>
    </row>
    <row r="82" spans="1:23" x14ac:dyDescent="0.3">
      <c r="A82" s="2" t="s">
        <v>249</v>
      </c>
      <c r="B82" s="2" t="s">
        <v>750</v>
      </c>
      <c r="C82" s="2" t="s">
        <v>25</v>
      </c>
      <c r="D82" s="3">
        <f t="shared" si="4"/>
        <v>0.21432908318154215</v>
      </c>
      <c r="E82" s="4">
        <f t="shared" si="5"/>
        <v>10.8</v>
      </c>
      <c r="F82" s="4">
        <f t="shared" si="6"/>
        <v>13.114754098360656</v>
      </c>
      <c r="G82" s="4">
        <f t="shared" si="7"/>
        <v>2.3147540983606554</v>
      </c>
      <c r="H82" s="2" t="s">
        <v>26</v>
      </c>
      <c r="I82" s="2" t="s">
        <v>27</v>
      </c>
      <c r="J82" s="4">
        <v>2.7</v>
      </c>
      <c r="K82" s="4">
        <v>3.278688524590164</v>
      </c>
      <c r="L82" s="4">
        <v>4</v>
      </c>
      <c r="M82" s="2" t="s">
        <v>251</v>
      </c>
      <c r="N82" s="2" t="s">
        <v>29</v>
      </c>
      <c r="O82" s="2" t="s">
        <v>717</v>
      </c>
      <c r="P82" s="2" t="s">
        <v>718</v>
      </c>
      <c r="Q82" s="2" t="s">
        <v>252</v>
      </c>
      <c r="R82" s="2" t="s">
        <v>729</v>
      </c>
      <c r="T82" s="2" t="s">
        <v>730</v>
      </c>
      <c r="U82" s="2" t="s">
        <v>751</v>
      </c>
      <c r="W82" s="2" t="s">
        <v>505</v>
      </c>
    </row>
    <row r="83" spans="1:23" ht="20.399999999999999" x14ac:dyDescent="0.3">
      <c r="A83" s="2" t="s">
        <v>357</v>
      </c>
      <c r="B83" s="2" t="s">
        <v>709</v>
      </c>
      <c r="C83" s="2" t="s">
        <v>25</v>
      </c>
      <c r="D83" s="3">
        <f t="shared" si="4"/>
        <v>0.13118234659427105</v>
      </c>
      <c r="E83" s="4">
        <f t="shared" si="5"/>
        <v>2.8260000000000001</v>
      </c>
      <c r="F83" s="4">
        <f t="shared" si="6"/>
        <v>3.1967213114754101</v>
      </c>
      <c r="G83" s="4">
        <f t="shared" si="7"/>
        <v>0.37072131147540999</v>
      </c>
      <c r="H83" s="2" t="s">
        <v>26</v>
      </c>
      <c r="I83" s="2" t="s">
        <v>27</v>
      </c>
      <c r="J83" s="4">
        <v>2.8260000000000001</v>
      </c>
      <c r="K83" s="4">
        <v>3.1967213114754101</v>
      </c>
      <c r="L83" s="4">
        <v>1</v>
      </c>
      <c r="M83" s="2" t="s">
        <v>55</v>
      </c>
      <c r="N83" s="2" t="s">
        <v>29</v>
      </c>
      <c r="O83" s="2" t="s">
        <v>675</v>
      </c>
      <c r="P83" s="2" t="s">
        <v>676</v>
      </c>
      <c r="Q83" s="2" t="s">
        <v>56</v>
      </c>
      <c r="R83" s="2" t="s">
        <v>697</v>
      </c>
      <c r="T83" s="2" t="s">
        <v>698</v>
      </c>
      <c r="U83" s="2" t="s">
        <v>710</v>
      </c>
      <c r="W83" s="2" t="s">
        <v>700</v>
      </c>
    </row>
    <row r="84" spans="1:23" ht="20.399999999999999" x14ac:dyDescent="0.3">
      <c r="A84" s="2" t="s">
        <v>357</v>
      </c>
      <c r="B84" s="2" t="s">
        <v>696</v>
      </c>
      <c r="C84" s="2" t="s">
        <v>25</v>
      </c>
      <c r="D84" s="3">
        <f t="shared" si="4"/>
        <v>0.13358911754447172</v>
      </c>
      <c r="E84" s="4">
        <f t="shared" si="5"/>
        <v>2.82</v>
      </c>
      <c r="F84" s="4">
        <f t="shared" si="6"/>
        <v>3.1967213114754101</v>
      </c>
      <c r="G84" s="4">
        <f t="shared" si="7"/>
        <v>0.37672131147541021</v>
      </c>
      <c r="H84" s="2" t="s">
        <v>26</v>
      </c>
      <c r="I84" s="2" t="s">
        <v>27</v>
      </c>
      <c r="J84" s="4">
        <v>2.82</v>
      </c>
      <c r="K84" s="4">
        <v>3.1967213114754101</v>
      </c>
      <c r="L84" s="4">
        <v>1</v>
      </c>
      <c r="M84" s="2" t="s">
        <v>445</v>
      </c>
      <c r="N84" s="2" t="s">
        <v>29</v>
      </c>
      <c r="O84" s="2" t="s">
        <v>675</v>
      </c>
      <c r="P84" s="2" t="s">
        <v>676</v>
      </c>
      <c r="Q84" s="2" t="s">
        <v>446</v>
      </c>
      <c r="R84" s="2" t="s">
        <v>697</v>
      </c>
      <c r="T84" s="2" t="s">
        <v>698</v>
      </c>
      <c r="U84" s="2" t="s">
        <v>699</v>
      </c>
      <c r="W84" s="2" t="s">
        <v>700</v>
      </c>
    </row>
    <row r="85" spans="1:23" ht="20.399999999999999" x14ac:dyDescent="0.3">
      <c r="A85" s="2" t="s">
        <v>357</v>
      </c>
      <c r="B85" s="2" t="s">
        <v>444</v>
      </c>
      <c r="C85" s="2" t="s">
        <v>25</v>
      </c>
      <c r="D85" s="3">
        <f t="shared" si="4"/>
        <v>0.13358911754447172</v>
      </c>
      <c r="E85" s="4">
        <f t="shared" si="5"/>
        <v>5.64</v>
      </c>
      <c r="F85" s="4">
        <f t="shared" si="6"/>
        <v>6.3934426229508201</v>
      </c>
      <c r="G85" s="4">
        <f t="shared" si="7"/>
        <v>0.75344262295082043</v>
      </c>
      <c r="H85" s="2" t="s">
        <v>26</v>
      </c>
      <c r="I85" s="2" t="s">
        <v>27</v>
      </c>
      <c r="J85" s="4">
        <v>2.82</v>
      </c>
      <c r="K85" s="4">
        <v>3.1967213114754101</v>
      </c>
      <c r="L85" s="4">
        <v>2</v>
      </c>
      <c r="M85" s="2" t="s">
        <v>445</v>
      </c>
      <c r="N85" s="2" t="s">
        <v>29</v>
      </c>
      <c r="O85" s="2" t="s">
        <v>675</v>
      </c>
      <c r="P85" s="2" t="s">
        <v>676</v>
      </c>
      <c r="Q85" s="2" t="s">
        <v>446</v>
      </c>
      <c r="R85" s="2" t="s">
        <v>697</v>
      </c>
      <c r="T85" s="2" t="s">
        <v>698</v>
      </c>
      <c r="U85" s="2" t="s">
        <v>447</v>
      </c>
      <c r="W85" s="2" t="s">
        <v>700</v>
      </c>
    </row>
    <row r="86" spans="1:23" ht="20.399999999999999" x14ac:dyDescent="0.3">
      <c r="A86" s="2" t="s">
        <v>357</v>
      </c>
      <c r="B86" s="2" t="s">
        <v>701</v>
      </c>
      <c r="C86" s="2" t="s">
        <v>25</v>
      </c>
      <c r="D86" s="3">
        <f t="shared" si="4"/>
        <v>0.13358911754447172</v>
      </c>
      <c r="E86" s="4">
        <f t="shared" si="5"/>
        <v>2.82</v>
      </c>
      <c r="F86" s="4">
        <f t="shared" si="6"/>
        <v>3.1967213114754101</v>
      </c>
      <c r="G86" s="4">
        <f t="shared" si="7"/>
        <v>0.37672131147541021</v>
      </c>
      <c r="H86" s="2" t="s">
        <v>26</v>
      </c>
      <c r="I86" s="2" t="s">
        <v>27</v>
      </c>
      <c r="J86" s="4">
        <v>2.82</v>
      </c>
      <c r="K86" s="4">
        <v>3.1967213114754101</v>
      </c>
      <c r="L86" s="4">
        <v>1</v>
      </c>
      <c r="M86" s="2" t="s">
        <v>445</v>
      </c>
      <c r="N86" s="2" t="s">
        <v>29</v>
      </c>
      <c r="O86" s="2" t="s">
        <v>675</v>
      </c>
      <c r="P86" s="2" t="s">
        <v>676</v>
      </c>
      <c r="Q86" s="2" t="s">
        <v>446</v>
      </c>
      <c r="R86" s="2" t="s">
        <v>697</v>
      </c>
      <c r="T86" s="2" t="s">
        <v>698</v>
      </c>
      <c r="U86" s="2" t="s">
        <v>702</v>
      </c>
      <c r="W86" s="2" t="s">
        <v>700</v>
      </c>
    </row>
    <row r="87" spans="1:23" ht="20.399999999999999" x14ac:dyDescent="0.3">
      <c r="A87" s="2" t="s">
        <v>357</v>
      </c>
      <c r="B87" s="2" t="s">
        <v>448</v>
      </c>
      <c r="C87" s="2" t="s">
        <v>25</v>
      </c>
      <c r="D87" s="3">
        <f t="shared" si="4"/>
        <v>0.13358911754447172</v>
      </c>
      <c r="E87" s="4">
        <f t="shared" si="5"/>
        <v>2.82</v>
      </c>
      <c r="F87" s="4">
        <f t="shared" si="6"/>
        <v>3.1967213114754101</v>
      </c>
      <c r="G87" s="4">
        <f t="shared" si="7"/>
        <v>0.37672131147541021</v>
      </c>
      <c r="H87" s="2" t="s">
        <v>26</v>
      </c>
      <c r="I87" s="2" t="s">
        <v>27</v>
      </c>
      <c r="J87" s="4">
        <v>2.82</v>
      </c>
      <c r="K87" s="4">
        <v>3.1967213114754101</v>
      </c>
      <c r="L87" s="4">
        <v>1</v>
      </c>
      <c r="M87" s="2" t="s">
        <v>445</v>
      </c>
      <c r="N87" s="2" t="s">
        <v>29</v>
      </c>
      <c r="O87" s="2" t="s">
        <v>675</v>
      </c>
      <c r="P87" s="2" t="s">
        <v>676</v>
      </c>
      <c r="Q87" s="2" t="s">
        <v>446</v>
      </c>
      <c r="R87" s="2" t="s">
        <v>697</v>
      </c>
      <c r="T87" s="2" t="s">
        <v>698</v>
      </c>
      <c r="U87" s="2" t="s">
        <v>449</v>
      </c>
      <c r="W87" s="2" t="s">
        <v>700</v>
      </c>
    </row>
    <row r="88" spans="1:23" ht="20.399999999999999" x14ac:dyDescent="0.3">
      <c r="A88" s="2" t="s">
        <v>357</v>
      </c>
      <c r="B88" s="2" t="s">
        <v>705</v>
      </c>
      <c r="C88" s="2" t="s">
        <v>25</v>
      </c>
      <c r="D88" s="3">
        <f t="shared" si="4"/>
        <v>0.13358911754447172</v>
      </c>
      <c r="E88" s="4">
        <f t="shared" si="5"/>
        <v>2.82</v>
      </c>
      <c r="F88" s="4">
        <f t="shared" si="6"/>
        <v>3.1967213114754101</v>
      </c>
      <c r="G88" s="4">
        <f t="shared" si="7"/>
        <v>0.37672131147541021</v>
      </c>
      <c r="H88" s="2" t="s">
        <v>26</v>
      </c>
      <c r="I88" s="2" t="s">
        <v>27</v>
      </c>
      <c r="J88" s="4">
        <v>2.82</v>
      </c>
      <c r="K88" s="4">
        <v>3.1967213114754101</v>
      </c>
      <c r="L88" s="4">
        <v>1</v>
      </c>
      <c r="M88" s="2" t="s">
        <v>445</v>
      </c>
      <c r="N88" s="2" t="s">
        <v>29</v>
      </c>
      <c r="O88" s="2" t="s">
        <v>675</v>
      </c>
      <c r="P88" s="2" t="s">
        <v>676</v>
      </c>
      <c r="Q88" s="2" t="s">
        <v>446</v>
      </c>
      <c r="R88" s="2" t="s">
        <v>697</v>
      </c>
      <c r="T88" s="2" t="s">
        <v>698</v>
      </c>
      <c r="U88" s="2" t="s">
        <v>706</v>
      </c>
      <c r="W88" s="2" t="s">
        <v>700</v>
      </c>
    </row>
    <row r="89" spans="1:23" ht="20.399999999999999" x14ac:dyDescent="0.3">
      <c r="A89" s="2" t="s">
        <v>357</v>
      </c>
      <c r="B89" s="2" t="s">
        <v>707</v>
      </c>
      <c r="C89" s="2" t="s">
        <v>25</v>
      </c>
      <c r="D89" s="3">
        <f t="shared" si="4"/>
        <v>0.13358911754447172</v>
      </c>
      <c r="E89" s="4">
        <f t="shared" si="5"/>
        <v>2.82</v>
      </c>
      <c r="F89" s="4">
        <f t="shared" si="6"/>
        <v>3.1967213114754101</v>
      </c>
      <c r="G89" s="4">
        <f t="shared" si="7"/>
        <v>0.37672131147541021</v>
      </c>
      <c r="H89" s="2" t="s">
        <v>26</v>
      </c>
      <c r="I89" s="2" t="s">
        <v>27</v>
      </c>
      <c r="J89" s="4">
        <v>2.82</v>
      </c>
      <c r="K89" s="4">
        <v>3.1967213114754101</v>
      </c>
      <c r="L89" s="4">
        <v>1</v>
      </c>
      <c r="M89" s="2" t="s">
        <v>445</v>
      </c>
      <c r="N89" s="2" t="s">
        <v>29</v>
      </c>
      <c r="O89" s="2" t="s">
        <v>675</v>
      </c>
      <c r="P89" s="2" t="s">
        <v>676</v>
      </c>
      <c r="Q89" s="2" t="s">
        <v>446</v>
      </c>
      <c r="R89" s="2" t="s">
        <v>697</v>
      </c>
      <c r="T89" s="2" t="s">
        <v>698</v>
      </c>
      <c r="U89" s="2" t="s">
        <v>708</v>
      </c>
      <c r="W89" s="2" t="s">
        <v>700</v>
      </c>
    </row>
    <row r="90" spans="1:23" x14ac:dyDescent="0.3">
      <c r="A90" s="2" t="s">
        <v>37</v>
      </c>
      <c r="B90" s="2" t="s">
        <v>38</v>
      </c>
      <c r="C90" s="2" t="s">
        <v>25</v>
      </c>
      <c r="D90" s="3">
        <f t="shared" si="4"/>
        <v>0.14168618266978938</v>
      </c>
      <c r="E90" s="4">
        <f t="shared" si="5"/>
        <v>5.6</v>
      </c>
      <c r="F90" s="4">
        <f t="shared" si="6"/>
        <v>6.3934426229508201</v>
      </c>
      <c r="G90" s="4">
        <f t="shared" si="7"/>
        <v>0.79344262295082046</v>
      </c>
      <c r="H90" s="2" t="s">
        <v>26</v>
      </c>
      <c r="I90" s="2" t="s">
        <v>27</v>
      </c>
      <c r="J90" s="4">
        <v>2.8</v>
      </c>
      <c r="K90" s="4">
        <v>3.1967213114754101</v>
      </c>
      <c r="L90" s="4">
        <v>2</v>
      </c>
      <c r="M90" s="2" t="s">
        <v>39</v>
      </c>
      <c r="N90" s="2" t="s">
        <v>29</v>
      </c>
      <c r="O90" s="2" t="s">
        <v>30</v>
      </c>
      <c r="P90" s="2" t="s">
        <v>31</v>
      </c>
      <c r="Q90" s="2" t="s">
        <v>40</v>
      </c>
      <c r="R90" s="2" t="s">
        <v>41</v>
      </c>
      <c r="T90" s="2" t="s">
        <v>42</v>
      </c>
      <c r="U90" s="2" t="s">
        <v>43</v>
      </c>
      <c r="W90" s="2" t="s">
        <v>44</v>
      </c>
    </row>
    <row r="91" spans="1:23" x14ac:dyDescent="0.3">
      <c r="A91" s="2" t="s">
        <v>37</v>
      </c>
      <c r="B91" s="2" t="s">
        <v>38</v>
      </c>
      <c r="C91" s="2" t="s">
        <v>25</v>
      </c>
      <c r="D91" s="3">
        <f t="shared" si="4"/>
        <v>0.14168618266978938</v>
      </c>
      <c r="E91" s="4">
        <f t="shared" si="5"/>
        <v>2.8</v>
      </c>
      <c r="F91" s="4">
        <f t="shared" si="6"/>
        <v>3.1967213114754101</v>
      </c>
      <c r="G91" s="4">
        <f t="shared" si="7"/>
        <v>0.39672131147541023</v>
      </c>
      <c r="H91" s="2" t="s">
        <v>26</v>
      </c>
      <c r="I91" s="2" t="s">
        <v>27</v>
      </c>
      <c r="J91" s="4">
        <v>2.8</v>
      </c>
      <c r="K91" s="4">
        <v>3.1967213114754101</v>
      </c>
      <c r="L91" s="4">
        <v>1</v>
      </c>
      <c r="M91" s="2" t="s">
        <v>39</v>
      </c>
      <c r="N91" s="2" t="s">
        <v>29</v>
      </c>
      <c r="O91" s="2" t="s">
        <v>30</v>
      </c>
      <c r="P91" s="2" t="s">
        <v>31</v>
      </c>
      <c r="Q91" s="2" t="s">
        <v>40</v>
      </c>
      <c r="R91" s="2" t="s">
        <v>45</v>
      </c>
      <c r="T91" s="2" t="s">
        <v>34</v>
      </c>
      <c r="U91" s="2" t="s">
        <v>43</v>
      </c>
      <c r="W91" s="2" t="s">
        <v>36</v>
      </c>
    </row>
    <row r="92" spans="1:23" x14ac:dyDescent="0.3">
      <c r="A92" s="2" t="s">
        <v>158</v>
      </c>
      <c r="B92" s="2" t="s">
        <v>270</v>
      </c>
      <c r="C92" s="2" t="s">
        <v>25</v>
      </c>
      <c r="D92" s="3">
        <f t="shared" si="4"/>
        <v>0.15823235923022103</v>
      </c>
      <c r="E92" s="4">
        <f t="shared" si="5"/>
        <v>16.559999999999999</v>
      </c>
      <c r="F92" s="4">
        <f t="shared" si="6"/>
        <v>19.180327868852459</v>
      </c>
      <c r="G92" s="4">
        <f t="shared" si="7"/>
        <v>2.6203278688524598</v>
      </c>
      <c r="H92" s="2" t="s">
        <v>26</v>
      </c>
      <c r="I92" s="2" t="s">
        <v>27</v>
      </c>
      <c r="J92" s="4">
        <v>2.76</v>
      </c>
      <c r="K92" s="4">
        <v>3.1967213114754101</v>
      </c>
      <c r="L92" s="4">
        <v>6</v>
      </c>
      <c r="M92" s="2" t="s">
        <v>55</v>
      </c>
      <c r="N92" s="2" t="s">
        <v>29</v>
      </c>
      <c r="O92" s="2" t="s">
        <v>160</v>
      </c>
      <c r="P92" s="2" t="s">
        <v>161</v>
      </c>
      <c r="Q92" s="2" t="s">
        <v>56</v>
      </c>
      <c r="R92" s="2" t="s">
        <v>176</v>
      </c>
      <c r="T92" s="2" t="s">
        <v>177</v>
      </c>
      <c r="U92" s="2" t="s">
        <v>271</v>
      </c>
      <c r="W92" s="2" t="s">
        <v>179</v>
      </c>
    </row>
    <row r="93" spans="1:23" x14ac:dyDescent="0.3">
      <c r="A93" s="2" t="s">
        <v>158</v>
      </c>
      <c r="B93" s="2" t="s">
        <v>266</v>
      </c>
      <c r="C93" s="2" t="s">
        <v>25</v>
      </c>
      <c r="D93" s="3">
        <f t="shared" si="4"/>
        <v>0.22058851144536437</v>
      </c>
      <c r="E93" s="4">
        <f t="shared" si="5"/>
        <v>15.714000000000002</v>
      </c>
      <c r="F93" s="4">
        <f t="shared" si="6"/>
        <v>19.180327868852459</v>
      </c>
      <c r="G93" s="4">
        <f t="shared" si="7"/>
        <v>3.4663278688524564</v>
      </c>
      <c r="H93" s="2" t="s">
        <v>26</v>
      </c>
      <c r="I93" s="2" t="s">
        <v>27</v>
      </c>
      <c r="J93" s="4">
        <v>2.6190000000000002</v>
      </c>
      <c r="K93" s="4">
        <v>3.1967213114754101</v>
      </c>
      <c r="L93" s="4">
        <v>6</v>
      </c>
      <c r="M93" s="2" t="s">
        <v>267</v>
      </c>
      <c r="N93" s="2" t="s">
        <v>29</v>
      </c>
      <c r="O93" s="2" t="s">
        <v>160</v>
      </c>
      <c r="P93" s="2" t="s">
        <v>161</v>
      </c>
      <c r="Q93" s="2" t="s">
        <v>268</v>
      </c>
      <c r="R93" s="2" t="s">
        <v>176</v>
      </c>
      <c r="T93" s="2" t="s">
        <v>177</v>
      </c>
      <c r="U93" s="2" t="s">
        <v>269</v>
      </c>
      <c r="W93" s="2" t="s">
        <v>179</v>
      </c>
    </row>
    <row r="94" spans="1:23" x14ac:dyDescent="0.3">
      <c r="A94" s="2" t="s">
        <v>158</v>
      </c>
      <c r="B94" s="2" t="s">
        <v>260</v>
      </c>
      <c r="C94" s="2" t="s">
        <v>25</v>
      </c>
      <c r="D94" s="3">
        <f t="shared" si="4"/>
        <v>0.24628511168631956</v>
      </c>
      <c r="E94" s="4">
        <f t="shared" si="5"/>
        <v>15.39</v>
      </c>
      <c r="F94" s="4">
        <f t="shared" si="6"/>
        <v>19.180327868852459</v>
      </c>
      <c r="G94" s="4">
        <f t="shared" si="7"/>
        <v>3.790327868852458</v>
      </c>
      <c r="H94" s="2" t="s">
        <v>26</v>
      </c>
      <c r="I94" s="2" t="s">
        <v>27</v>
      </c>
      <c r="J94" s="4">
        <v>2.5649999999999999</v>
      </c>
      <c r="K94" s="4">
        <v>3.1967213114754101</v>
      </c>
      <c r="L94" s="4">
        <v>6</v>
      </c>
      <c r="M94" s="2" t="s">
        <v>261</v>
      </c>
      <c r="N94" s="2" t="s">
        <v>29</v>
      </c>
      <c r="O94" s="2" t="s">
        <v>160</v>
      </c>
      <c r="P94" s="2" t="s">
        <v>161</v>
      </c>
      <c r="Q94" s="2" t="s">
        <v>262</v>
      </c>
      <c r="R94" s="2" t="s">
        <v>176</v>
      </c>
      <c r="T94" s="2" t="s">
        <v>177</v>
      </c>
      <c r="U94" s="2" t="s">
        <v>263</v>
      </c>
      <c r="W94" s="2" t="s">
        <v>179</v>
      </c>
    </row>
    <row r="95" spans="1:23" x14ac:dyDescent="0.3">
      <c r="A95" s="2" t="s">
        <v>158</v>
      </c>
      <c r="B95" s="2" t="s">
        <v>264</v>
      </c>
      <c r="C95" s="2" t="s">
        <v>25</v>
      </c>
      <c r="D95" s="3">
        <f t="shared" si="4"/>
        <v>0.27868852459016391</v>
      </c>
      <c r="E95" s="4">
        <f t="shared" si="5"/>
        <v>15</v>
      </c>
      <c r="F95" s="4">
        <f t="shared" si="6"/>
        <v>19.180327868852459</v>
      </c>
      <c r="G95" s="4">
        <f t="shared" si="7"/>
        <v>4.1803278688524586</v>
      </c>
      <c r="H95" s="2" t="s">
        <v>26</v>
      </c>
      <c r="I95" s="2" t="s">
        <v>27</v>
      </c>
      <c r="J95" s="4">
        <v>2.5</v>
      </c>
      <c r="K95" s="4">
        <v>3.1967213114754101</v>
      </c>
      <c r="L95" s="4">
        <v>6</v>
      </c>
      <c r="M95" s="2" t="s">
        <v>55</v>
      </c>
      <c r="N95" s="2" t="s">
        <v>29</v>
      </c>
      <c r="O95" s="2" t="s">
        <v>160</v>
      </c>
      <c r="P95" s="2" t="s">
        <v>161</v>
      </c>
      <c r="Q95" s="2" t="s">
        <v>56</v>
      </c>
      <c r="R95" s="2" t="s">
        <v>176</v>
      </c>
      <c r="T95" s="2" t="s">
        <v>177</v>
      </c>
      <c r="U95" s="2" t="s">
        <v>265</v>
      </c>
      <c r="W95" s="2" t="s">
        <v>179</v>
      </c>
    </row>
    <row r="96" spans="1:23" x14ac:dyDescent="0.3">
      <c r="A96" s="2" t="s">
        <v>249</v>
      </c>
      <c r="B96" s="2" t="s">
        <v>250</v>
      </c>
      <c r="C96" s="2" t="s">
        <v>25</v>
      </c>
      <c r="D96" s="3">
        <f t="shared" si="4"/>
        <v>0.24590163934426221</v>
      </c>
      <c r="E96" s="4">
        <f t="shared" si="5"/>
        <v>15</v>
      </c>
      <c r="F96" s="4">
        <f t="shared" si="6"/>
        <v>18.688524590163933</v>
      </c>
      <c r="G96" s="4">
        <f t="shared" si="7"/>
        <v>3.688524590163933</v>
      </c>
      <c r="H96" s="2" t="s">
        <v>26</v>
      </c>
      <c r="I96" s="2" t="s">
        <v>27</v>
      </c>
      <c r="J96" s="4">
        <v>2.5</v>
      </c>
      <c r="K96" s="4">
        <v>3.1147540983606556</v>
      </c>
      <c r="L96" s="4">
        <v>6</v>
      </c>
      <c r="M96" s="2" t="s">
        <v>251</v>
      </c>
      <c r="N96" s="2" t="s">
        <v>29</v>
      </c>
      <c r="O96" s="2" t="s">
        <v>160</v>
      </c>
      <c r="P96" s="2" t="s">
        <v>161</v>
      </c>
      <c r="Q96" s="2" t="s">
        <v>252</v>
      </c>
      <c r="R96" s="2" t="s">
        <v>176</v>
      </c>
      <c r="T96" s="2" t="s">
        <v>177</v>
      </c>
      <c r="U96" s="2" t="s">
        <v>253</v>
      </c>
      <c r="W96" s="2" t="s">
        <v>179</v>
      </c>
    </row>
    <row r="97" spans="1:23" ht="20.399999999999999" x14ac:dyDescent="0.3">
      <c r="A97" s="2" t="s">
        <v>439</v>
      </c>
      <c r="B97" s="2" t="s">
        <v>524</v>
      </c>
      <c r="C97" s="2" t="s">
        <v>25</v>
      </c>
      <c r="D97" s="3">
        <f t="shared" si="4"/>
        <v>0.32542727589815112</v>
      </c>
      <c r="E97" s="4">
        <f t="shared" si="5"/>
        <v>7.0500000000000007</v>
      </c>
      <c r="F97" s="4">
        <f t="shared" si="6"/>
        <v>9.3442622950819665</v>
      </c>
      <c r="G97" s="4">
        <f t="shared" si="7"/>
        <v>2.2942622950819658</v>
      </c>
      <c r="H97" s="2" t="s">
        <v>26</v>
      </c>
      <c r="I97" s="2" t="s">
        <v>27</v>
      </c>
      <c r="J97" s="4">
        <v>2.35</v>
      </c>
      <c r="K97" s="4">
        <v>3.1147540983606556</v>
      </c>
      <c r="L97" s="4">
        <v>3</v>
      </c>
      <c r="M97" s="2" t="s">
        <v>525</v>
      </c>
      <c r="N97" s="2" t="s">
        <v>29</v>
      </c>
      <c r="O97" s="2" t="s">
        <v>500</v>
      </c>
      <c r="P97" s="2" t="s">
        <v>56</v>
      </c>
      <c r="Q97" s="2" t="s">
        <v>526</v>
      </c>
      <c r="R97" s="2" t="s">
        <v>502</v>
      </c>
      <c r="T97" s="2" t="s">
        <v>503</v>
      </c>
      <c r="U97" s="2" t="s">
        <v>527</v>
      </c>
      <c r="W97" s="2" t="s">
        <v>505</v>
      </c>
    </row>
    <row r="98" spans="1:23" x14ac:dyDescent="0.3">
      <c r="A98" s="2" t="s">
        <v>46</v>
      </c>
      <c r="B98" s="2" t="s">
        <v>47</v>
      </c>
      <c r="C98" s="2" t="s">
        <v>25</v>
      </c>
      <c r="D98" s="3">
        <f t="shared" si="4"/>
        <v>9.0146256378828768E-2</v>
      </c>
      <c r="E98" s="4">
        <f t="shared" si="5"/>
        <v>2.782</v>
      </c>
      <c r="F98" s="4">
        <f t="shared" si="6"/>
        <v>3.0327868852459017</v>
      </c>
      <c r="G98" s="4">
        <f t="shared" si="7"/>
        <v>0.25078688524590165</v>
      </c>
      <c r="H98" s="2" t="s">
        <v>26</v>
      </c>
      <c r="I98" s="2" t="s">
        <v>27</v>
      </c>
      <c r="J98" s="4">
        <v>2.782</v>
      </c>
      <c r="K98" s="4">
        <v>3.0327868852459017</v>
      </c>
      <c r="L98" s="4">
        <v>1</v>
      </c>
      <c r="M98" s="2" t="s">
        <v>48</v>
      </c>
      <c r="N98" s="2" t="s">
        <v>29</v>
      </c>
      <c r="O98" s="2" t="s">
        <v>30</v>
      </c>
      <c r="P98" s="2" t="s">
        <v>31</v>
      </c>
      <c r="Q98" s="2" t="s">
        <v>49</v>
      </c>
      <c r="R98" s="2" t="s">
        <v>50</v>
      </c>
      <c r="T98" s="2" t="s">
        <v>51</v>
      </c>
      <c r="U98" s="2" t="s">
        <v>52</v>
      </c>
      <c r="W98" s="2" t="s">
        <v>53</v>
      </c>
    </row>
    <row r="99" spans="1:23" x14ac:dyDescent="0.3">
      <c r="A99" s="2" t="s">
        <v>632</v>
      </c>
      <c r="B99" s="2" t="s">
        <v>715</v>
      </c>
      <c r="C99" s="2" t="s">
        <v>25</v>
      </c>
      <c r="D99" s="3">
        <f t="shared" si="4"/>
        <v>0.25000000000000006</v>
      </c>
      <c r="E99" s="4">
        <f t="shared" si="5"/>
        <v>14.163934426229508</v>
      </c>
      <c r="F99" s="4">
        <f t="shared" si="6"/>
        <v>17.704918032786885</v>
      </c>
      <c r="G99" s="4">
        <f t="shared" si="7"/>
        <v>3.5409836065573774</v>
      </c>
      <c r="H99" s="2" t="s">
        <v>26</v>
      </c>
      <c r="I99" s="2" t="s">
        <v>27</v>
      </c>
      <c r="J99" s="4">
        <v>2.360655737704918</v>
      </c>
      <c r="K99" s="4">
        <v>2.9508196721311477</v>
      </c>
      <c r="L99" s="4">
        <v>6</v>
      </c>
      <c r="M99" s="2" t="s">
        <v>716</v>
      </c>
      <c r="N99" s="2" t="s">
        <v>29</v>
      </c>
      <c r="O99" s="2" t="s">
        <v>717</v>
      </c>
      <c r="P99" s="2" t="s">
        <v>718</v>
      </c>
      <c r="Q99" s="2" t="s">
        <v>719</v>
      </c>
      <c r="R99" s="2" t="s">
        <v>720</v>
      </c>
      <c r="T99" s="2" t="s">
        <v>721</v>
      </c>
      <c r="U99" s="2" t="s">
        <v>722</v>
      </c>
      <c r="W99" s="2" t="s">
        <v>700</v>
      </c>
    </row>
    <row r="100" spans="1:23" x14ac:dyDescent="0.3">
      <c r="A100" s="2" t="s">
        <v>212</v>
      </c>
      <c r="B100" s="2" t="s">
        <v>752</v>
      </c>
      <c r="C100" s="2" t="s">
        <v>25</v>
      </c>
      <c r="D100" s="3">
        <f t="shared" si="4"/>
        <v>0.10849724723183625</v>
      </c>
      <c r="E100" s="4">
        <f t="shared" si="5"/>
        <v>13.309999999999999</v>
      </c>
      <c r="F100" s="4">
        <f t="shared" si="6"/>
        <v>14.754098360655739</v>
      </c>
      <c r="G100" s="4">
        <f t="shared" si="7"/>
        <v>1.4440983606557403</v>
      </c>
      <c r="H100" s="2" t="s">
        <v>26</v>
      </c>
      <c r="I100" s="2" t="s">
        <v>27</v>
      </c>
      <c r="J100" s="4">
        <v>2.6619999999999999</v>
      </c>
      <c r="K100" s="4">
        <v>2.9508196721311477</v>
      </c>
      <c r="L100" s="4">
        <v>5</v>
      </c>
      <c r="M100" s="2" t="s">
        <v>753</v>
      </c>
      <c r="N100" s="2" t="s">
        <v>29</v>
      </c>
      <c r="O100" s="2" t="s">
        <v>717</v>
      </c>
      <c r="P100" s="2" t="s">
        <v>718</v>
      </c>
      <c r="Q100" s="2" t="s">
        <v>671</v>
      </c>
      <c r="R100" s="2" t="s">
        <v>723</v>
      </c>
      <c r="T100" s="2" t="s">
        <v>724</v>
      </c>
      <c r="U100" s="2" t="s">
        <v>754</v>
      </c>
      <c r="W100" s="2" t="s">
        <v>725</v>
      </c>
    </row>
    <row r="101" spans="1:23" ht="20.399999999999999" x14ac:dyDescent="0.3">
      <c r="A101" s="2" t="s">
        <v>336</v>
      </c>
      <c r="B101" s="2" t="s">
        <v>493</v>
      </c>
      <c r="C101" s="2" t="s">
        <v>25</v>
      </c>
      <c r="D101" s="3">
        <f t="shared" si="4"/>
        <v>0.12928422201727813</v>
      </c>
      <c r="E101" s="4">
        <f t="shared" si="5"/>
        <v>60.098999999999997</v>
      </c>
      <c r="F101" s="4">
        <f t="shared" si="6"/>
        <v>67.868852459016395</v>
      </c>
      <c r="G101" s="4">
        <f t="shared" si="7"/>
        <v>7.7698524590163984</v>
      </c>
      <c r="H101" s="2" t="s">
        <v>26</v>
      </c>
      <c r="I101" s="2" t="s">
        <v>27</v>
      </c>
      <c r="J101" s="4">
        <v>2.613</v>
      </c>
      <c r="K101" s="4">
        <v>2.9508196721311477</v>
      </c>
      <c r="L101" s="4">
        <v>23</v>
      </c>
      <c r="M101" s="2" t="s">
        <v>55</v>
      </c>
      <c r="N101" s="2" t="s">
        <v>29</v>
      </c>
      <c r="O101" s="2" t="s">
        <v>488</v>
      </c>
      <c r="P101" s="2" t="s">
        <v>135</v>
      </c>
      <c r="Q101" s="2" t="s">
        <v>56</v>
      </c>
      <c r="R101" s="2" t="s">
        <v>489</v>
      </c>
      <c r="T101" s="2" t="s">
        <v>490</v>
      </c>
      <c r="U101" s="2" t="s">
        <v>494</v>
      </c>
      <c r="W101" s="2" t="s">
        <v>492</v>
      </c>
    </row>
    <row r="102" spans="1:23" ht="20.399999999999999" x14ac:dyDescent="0.3">
      <c r="A102" s="2" t="s">
        <v>357</v>
      </c>
      <c r="B102" s="2" t="s">
        <v>711</v>
      </c>
      <c r="C102" s="2" t="s">
        <v>25</v>
      </c>
      <c r="D102" s="3">
        <f t="shared" si="4"/>
        <v>0.16910446597906009</v>
      </c>
      <c r="E102" s="4">
        <f t="shared" si="5"/>
        <v>2.524</v>
      </c>
      <c r="F102" s="4">
        <f t="shared" si="6"/>
        <v>2.9508196721311477</v>
      </c>
      <c r="G102" s="4">
        <f t="shared" si="7"/>
        <v>0.42681967213114769</v>
      </c>
      <c r="H102" s="2" t="s">
        <v>26</v>
      </c>
      <c r="I102" s="2" t="s">
        <v>27</v>
      </c>
      <c r="J102" s="4">
        <v>2.524</v>
      </c>
      <c r="K102" s="4">
        <v>2.9508196721311477</v>
      </c>
      <c r="L102" s="4">
        <v>1</v>
      </c>
      <c r="M102" s="2" t="s">
        <v>445</v>
      </c>
      <c r="N102" s="2" t="s">
        <v>29</v>
      </c>
      <c r="O102" s="2" t="s">
        <v>675</v>
      </c>
      <c r="P102" s="2" t="s">
        <v>676</v>
      </c>
      <c r="Q102" s="2" t="s">
        <v>446</v>
      </c>
      <c r="R102" s="2" t="s">
        <v>697</v>
      </c>
      <c r="T102" s="2" t="s">
        <v>698</v>
      </c>
      <c r="U102" s="2" t="s">
        <v>712</v>
      </c>
      <c r="W102" s="2" t="s">
        <v>700</v>
      </c>
    </row>
    <row r="103" spans="1:23" ht="20.399999999999999" x14ac:dyDescent="0.3">
      <c r="A103" s="2" t="s">
        <v>357</v>
      </c>
      <c r="B103" s="2" t="s">
        <v>467</v>
      </c>
      <c r="C103" s="2" t="s">
        <v>25</v>
      </c>
      <c r="D103" s="3">
        <f t="shared" si="4"/>
        <v>0.16910446597906009</v>
      </c>
      <c r="E103" s="4">
        <f t="shared" si="5"/>
        <v>2.524</v>
      </c>
      <c r="F103" s="4">
        <f t="shared" si="6"/>
        <v>2.9508196721311477</v>
      </c>
      <c r="G103" s="4">
        <f t="shared" si="7"/>
        <v>0.42681967213114769</v>
      </c>
      <c r="H103" s="2" t="s">
        <v>26</v>
      </c>
      <c r="I103" s="2" t="s">
        <v>27</v>
      </c>
      <c r="J103" s="4">
        <v>2.524</v>
      </c>
      <c r="K103" s="4">
        <v>2.9508196721311477</v>
      </c>
      <c r="L103" s="4">
        <v>1</v>
      </c>
      <c r="M103" s="2" t="s">
        <v>445</v>
      </c>
      <c r="N103" s="2" t="s">
        <v>29</v>
      </c>
      <c r="O103" s="2" t="s">
        <v>675</v>
      </c>
      <c r="P103" s="2" t="s">
        <v>676</v>
      </c>
      <c r="Q103" s="2" t="s">
        <v>446</v>
      </c>
      <c r="R103" s="2" t="s">
        <v>697</v>
      </c>
      <c r="T103" s="2" t="s">
        <v>698</v>
      </c>
      <c r="U103" s="2" t="s">
        <v>468</v>
      </c>
      <c r="W103" s="2" t="s">
        <v>700</v>
      </c>
    </row>
    <row r="104" spans="1:23" ht="20.399999999999999" x14ac:dyDescent="0.3">
      <c r="A104" s="2" t="s">
        <v>357</v>
      </c>
      <c r="B104" s="2" t="s">
        <v>469</v>
      </c>
      <c r="C104" s="2" t="s">
        <v>25</v>
      </c>
      <c r="D104" s="3">
        <f t="shared" si="4"/>
        <v>0.16910446597906009</v>
      </c>
      <c r="E104" s="4">
        <f t="shared" si="5"/>
        <v>2.524</v>
      </c>
      <c r="F104" s="4">
        <f t="shared" si="6"/>
        <v>2.9508196721311477</v>
      </c>
      <c r="G104" s="4">
        <f t="shared" si="7"/>
        <v>0.42681967213114769</v>
      </c>
      <c r="H104" s="2" t="s">
        <v>26</v>
      </c>
      <c r="I104" s="2" t="s">
        <v>27</v>
      </c>
      <c r="J104" s="4">
        <v>2.524</v>
      </c>
      <c r="K104" s="4">
        <v>2.9508196721311477</v>
      </c>
      <c r="L104" s="4">
        <v>1</v>
      </c>
      <c r="M104" s="2" t="s">
        <v>445</v>
      </c>
      <c r="N104" s="2" t="s">
        <v>29</v>
      </c>
      <c r="O104" s="2" t="s">
        <v>675</v>
      </c>
      <c r="P104" s="2" t="s">
        <v>676</v>
      </c>
      <c r="Q104" s="2" t="s">
        <v>446</v>
      </c>
      <c r="R104" s="2" t="s">
        <v>697</v>
      </c>
      <c r="T104" s="2" t="s">
        <v>698</v>
      </c>
      <c r="U104" s="2" t="s">
        <v>470</v>
      </c>
      <c r="W104" s="2" t="s">
        <v>700</v>
      </c>
    </row>
    <row r="105" spans="1:23" ht="20.399999999999999" x14ac:dyDescent="0.3">
      <c r="A105" s="2" t="s">
        <v>357</v>
      </c>
      <c r="B105" s="2" t="s">
        <v>713</v>
      </c>
      <c r="C105" s="2" t="s">
        <v>25</v>
      </c>
      <c r="D105" s="3">
        <f t="shared" si="4"/>
        <v>0.16910446597906009</v>
      </c>
      <c r="E105" s="4">
        <f t="shared" si="5"/>
        <v>2.524</v>
      </c>
      <c r="F105" s="4">
        <f t="shared" si="6"/>
        <v>2.9508196721311477</v>
      </c>
      <c r="G105" s="4">
        <f t="shared" si="7"/>
        <v>0.42681967213114769</v>
      </c>
      <c r="H105" s="2" t="s">
        <v>26</v>
      </c>
      <c r="I105" s="2" t="s">
        <v>27</v>
      </c>
      <c r="J105" s="4">
        <v>2.524</v>
      </c>
      <c r="K105" s="4">
        <v>2.9508196721311477</v>
      </c>
      <c r="L105" s="4">
        <v>1</v>
      </c>
      <c r="M105" s="2" t="s">
        <v>445</v>
      </c>
      <c r="N105" s="2" t="s">
        <v>29</v>
      </c>
      <c r="O105" s="2" t="s">
        <v>675</v>
      </c>
      <c r="P105" s="2" t="s">
        <v>676</v>
      </c>
      <c r="Q105" s="2" t="s">
        <v>446</v>
      </c>
      <c r="R105" s="2" t="s">
        <v>697</v>
      </c>
      <c r="T105" s="2" t="s">
        <v>698</v>
      </c>
      <c r="U105" s="2" t="s">
        <v>714</v>
      </c>
      <c r="W105" s="2" t="s">
        <v>700</v>
      </c>
    </row>
    <row r="106" spans="1:23" x14ac:dyDescent="0.3">
      <c r="A106" s="2" t="s">
        <v>108</v>
      </c>
      <c r="B106" s="2" t="s">
        <v>128</v>
      </c>
      <c r="C106" s="2" t="s">
        <v>25</v>
      </c>
      <c r="D106" s="3">
        <f t="shared" si="4"/>
        <v>0.29285825102135804</v>
      </c>
      <c r="E106" s="4">
        <f t="shared" si="5"/>
        <v>4.4379999999999997</v>
      </c>
      <c r="F106" s="4">
        <f t="shared" si="6"/>
        <v>5.7377049180327866</v>
      </c>
      <c r="G106" s="4">
        <f t="shared" si="7"/>
        <v>1.2997049180327869</v>
      </c>
      <c r="H106" s="2" t="s">
        <v>26</v>
      </c>
      <c r="I106" s="2" t="s">
        <v>27</v>
      </c>
      <c r="J106" s="4">
        <v>2.2189999999999999</v>
      </c>
      <c r="K106" s="4">
        <v>2.8688524590163933</v>
      </c>
      <c r="L106" s="4">
        <v>2</v>
      </c>
      <c r="M106" s="2" t="s">
        <v>55</v>
      </c>
      <c r="N106" s="2" t="s">
        <v>29</v>
      </c>
      <c r="O106" s="2" t="s">
        <v>30</v>
      </c>
      <c r="P106" s="2" t="s">
        <v>31</v>
      </c>
      <c r="Q106" s="2" t="s">
        <v>56</v>
      </c>
      <c r="R106" s="2" t="s">
        <v>33</v>
      </c>
      <c r="T106" s="2" t="s">
        <v>34</v>
      </c>
      <c r="U106" s="2" t="s">
        <v>129</v>
      </c>
      <c r="W106" s="2" t="s">
        <v>36</v>
      </c>
    </row>
    <row r="107" spans="1:23" x14ac:dyDescent="0.3">
      <c r="A107" s="2" t="s">
        <v>158</v>
      </c>
      <c r="B107" s="2" t="s">
        <v>173</v>
      </c>
      <c r="C107" s="2" t="s">
        <v>25</v>
      </c>
      <c r="D107" s="3">
        <f t="shared" si="4"/>
        <v>0.18636755823986204</v>
      </c>
      <c r="E107" s="4">
        <f t="shared" si="5"/>
        <v>13.68</v>
      </c>
      <c r="F107" s="4">
        <f t="shared" si="6"/>
        <v>16.229508196721312</v>
      </c>
      <c r="G107" s="4">
        <f t="shared" si="7"/>
        <v>2.5495081967213125</v>
      </c>
      <c r="H107" s="2" t="s">
        <v>26</v>
      </c>
      <c r="I107" s="2" t="s">
        <v>27</v>
      </c>
      <c r="J107" s="4">
        <v>2.2799999999999998</v>
      </c>
      <c r="K107" s="4">
        <v>2.7049180327868854</v>
      </c>
      <c r="L107" s="4">
        <v>6</v>
      </c>
      <c r="M107" s="2" t="s">
        <v>174</v>
      </c>
      <c r="N107" s="2" t="s">
        <v>29</v>
      </c>
      <c r="O107" s="2" t="s">
        <v>160</v>
      </c>
      <c r="P107" s="2" t="s">
        <v>161</v>
      </c>
      <c r="Q107" s="2" t="s">
        <v>175</v>
      </c>
      <c r="R107" s="2" t="s">
        <v>176</v>
      </c>
      <c r="T107" s="2" t="s">
        <v>177</v>
      </c>
      <c r="U107" s="2" t="s">
        <v>178</v>
      </c>
      <c r="W107" s="2" t="s">
        <v>179</v>
      </c>
    </row>
    <row r="108" spans="1:23" x14ac:dyDescent="0.3">
      <c r="A108" s="2" t="s">
        <v>158</v>
      </c>
      <c r="B108" s="2" t="s">
        <v>182</v>
      </c>
      <c r="C108" s="2" t="s">
        <v>25</v>
      </c>
      <c r="D108" s="3">
        <f t="shared" si="4"/>
        <v>0.18636755823986204</v>
      </c>
      <c r="E108" s="4">
        <f t="shared" si="5"/>
        <v>13.68</v>
      </c>
      <c r="F108" s="4">
        <f t="shared" si="6"/>
        <v>16.229508196721312</v>
      </c>
      <c r="G108" s="4">
        <f t="shared" si="7"/>
        <v>2.5495081967213125</v>
      </c>
      <c r="H108" s="2" t="s">
        <v>26</v>
      </c>
      <c r="I108" s="2" t="s">
        <v>27</v>
      </c>
      <c r="J108" s="4">
        <v>2.2799999999999998</v>
      </c>
      <c r="K108" s="4">
        <v>2.7049180327868854</v>
      </c>
      <c r="L108" s="4">
        <v>6</v>
      </c>
      <c r="M108" s="2" t="s">
        <v>174</v>
      </c>
      <c r="N108" s="2" t="s">
        <v>29</v>
      </c>
      <c r="O108" s="2" t="s">
        <v>160</v>
      </c>
      <c r="P108" s="2" t="s">
        <v>161</v>
      </c>
      <c r="Q108" s="2" t="s">
        <v>175</v>
      </c>
      <c r="R108" s="2" t="s">
        <v>176</v>
      </c>
      <c r="T108" s="2" t="s">
        <v>177</v>
      </c>
      <c r="U108" s="2" t="s">
        <v>183</v>
      </c>
      <c r="W108" s="2" t="s">
        <v>179</v>
      </c>
    </row>
    <row r="109" spans="1:23" x14ac:dyDescent="0.3">
      <c r="A109" s="2" t="s">
        <v>158</v>
      </c>
      <c r="B109" s="2" t="s">
        <v>180</v>
      </c>
      <c r="C109" s="2" t="s">
        <v>25</v>
      </c>
      <c r="D109" s="3">
        <f t="shared" si="4"/>
        <v>0.20218579234972683</v>
      </c>
      <c r="E109" s="4">
        <f t="shared" si="5"/>
        <v>13.5</v>
      </c>
      <c r="F109" s="4">
        <f t="shared" si="6"/>
        <v>16.229508196721312</v>
      </c>
      <c r="G109" s="4">
        <f t="shared" si="7"/>
        <v>2.7295081967213122</v>
      </c>
      <c r="H109" s="2" t="s">
        <v>26</v>
      </c>
      <c r="I109" s="2" t="s">
        <v>27</v>
      </c>
      <c r="J109" s="4">
        <v>2.25</v>
      </c>
      <c r="K109" s="4">
        <v>2.7049180327868854</v>
      </c>
      <c r="L109" s="4">
        <v>6</v>
      </c>
      <c r="M109" s="2" t="s">
        <v>55</v>
      </c>
      <c r="N109" s="2" t="s">
        <v>29</v>
      </c>
      <c r="O109" s="2" t="s">
        <v>160</v>
      </c>
      <c r="P109" s="2" t="s">
        <v>161</v>
      </c>
      <c r="Q109" s="2" t="s">
        <v>56</v>
      </c>
      <c r="R109" s="2" t="s">
        <v>176</v>
      </c>
      <c r="T109" s="2" t="s">
        <v>177</v>
      </c>
      <c r="U109" s="2" t="s">
        <v>181</v>
      </c>
      <c r="W109" s="2" t="s">
        <v>179</v>
      </c>
    </row>
    <row r="110" spans="1:23" x14ac:dyDescent="0.3">
      <c r="A110" s="2" t="s">
        <v>158</v>
      </c>
      <c r="B110" s="2" t="s">
        <v>184</v>
      </c>
      <c r="C110" s="2" t="s">
        <v>25</v>
      </c>
      <c r="D110" s="3">
        <f t="shared" si="4"/>
        <v>0.15041702617198735</v>
      </c>
      <c r="E110" s="4">
        <f t="shared" si="5"/>
        <v>4.5599999999999996</v>
      </c>
      <c r="F110" s="4">
        <f t="shared" si="6"/>
        <v>5.2459016393442619</v>
      </c>
      <c r="G110" s="4">
        <f t="shared" si="7"/>
        <v>0.68590163934426229</v>
      </c>
      <c r="H110" s="2" t="s">
        <v>26</v>
      </c>
      <c r="I110" s="2" t="s">
        <v>27</v>
      </c>
      <c r="J110" s="4">
        <v>2.2799999999999998</v>
      </c>
      <c r="K110" s="4">
        <v>2.622950819672131</v>
      </c>
      <c r="L110" s="4">
        <v>2</v>
      </c>
      <c r="M110" s="2" t="s">
        <v>55</v>
      </c>
      <c r="N110" s="2" t="s">
        <v>29</v>
      </c>
      <c r="O110" s="2" t="s">
        <v>160</v>
      </c>
      <c r="P110" s="2" t="s">
        <v>161</v>
      </c>
      <c r="Q110" s="2" t="s">
        <v>56</v>
      </c>
      <c r="R110" s="2" t="s">
        <v>169</v>
      </c>
      <c r="T110" s="2" t="s">
        <v>170</v>
      </c>
      <c r="U110" s="2" t="s">
        <v>185</v>
      </c>
      <c r="W110" s="2" t="s">
        <v>172</v>
      </c>
    </row>
    <row r="111" spans="1:23" x14ac:dyDescent="0.3">
      <c r="A111" s="2" t="s">
        <v>158</v>
      </c>
      <c r="B111" s="2" t="s">
        <v>186</v>
      </c>
      <c r="C111" s="2" t="s">
        <v>25</v>
      </c>
      <c r="D111" s="3">
        <f t="shared" si="4"/>
        <v>0.15041702617198735</v>
      </c>
      <c r="E111" s="4">
        <f t="shared" si="5"/>
        <v>2.2799999999999998</v>
      </c>
      <c r="F111" s="4">
        <f t="shared" si="6"/>
        <v>2.622950819672131</v>
      </c>
      <c r="G111" s="4">
        <f t="shared" si="7"/>
        <v>0.34295081967213115</v>
      </c>
      <c r="H111" s="2" t="s">
        <v>26</v>
      </c>
      <c r="I111" s="2" t="s">
        <v>27</v>
      </c>
      <c r="J111" s="4">
        <v>2.2799999999999998</v>
      </c>
      <c r="K111" s="4">
        <v>2.622950819672131</v>
      </c>
      <c r="L111" s="4">
        <v>1</v>
      </c>
      <c r="M111" s="2" t="s">
        <v>55</v>
      </c>
      <c r="N111" s="2" t="s">
        <v>29</v>
      </c>
      <c r="O111" s="2" t="s">
        <v>160</v>
      </c>
      <c r="P111" s="2" t="s">
        <v>161</v>
      </c>
      <c r="Q111" s="2" t="s">
        <v>56</v>
      </c>
      <c r="R111" s="2" t="s">
        <v>169</v>
      </c>
      <c r="T111" s="2" t="s">
        <v>170</v>
      </c>
      <c r="U111" s="2" t="s">
        <v>187</v>
      </c>
      <c r="W111" s="2" t="s">
        <v>172</v>
      </c>
    </row>
    <row r="112" spans="1:23" x14ac:dyDescent="0.3">
      <c r="A112" s="2" t="s">
        <v>158</v>
      </c>
      <c r="B112" s="2" t="s">
        <v>210</v>
      </c>
      <c r="C112" s="2" t="s">
        <v>25</v>
      </c>
      <c r="D112" s="3">
        <f t="shared" si="4"/>
        <v>0.15041702617198735</v>
      </c>
      <c r="E112" s="4">
        <f t="shared" si="5"/>
        <v>2.2799999999999998</v>
      </c>
      <c r="F112" s="4">
        <f t="shared" si="6"/>
        <v>2.622950819672131</v>
      </c>
      <c r="G112" s="4">
        <f t="shared" si="7"/>
        <v>0.34295081967213115</v>
      </c>
      <c r="H112" s="2" t="s">
        <v>26</v>
      </c>
      <c r="I112" s="2" t="s">
        <v>27</v>
      </c>
      <c r="J112" s="4">
        <v>2.2799999999999998</v>
      </c>
      <c r="K112" s="4">
        <v>2.622950819672131</v>
      </c>
      <c r="L112" s="4">
        <v>1</v>
      </c>
      <c r="M112" s="2" t="s">
        <v>55</v>
      </c>
      <c r="N112" s="2" t="s">
        <v>29</v>
      </c>
      <c r="O112" s="2" t="s">
        <v>160</v>
      </c>
      <c r="P112" s="2" t="s">
        <v>161</v>
      </c>
      <c r="Q112" s="2" t="s">
        <v>56</v>
      </c>
      <c r="R112" s="2" t="s">
        <v>169</v>
      </c>
      <c r="T112" s="2" t="s">
        <v>170</v>
      </c>
      <c r="U112" s="2" t="s">
        <v>211</v>
      </c>
      <c r="W112" s="2" t="s">
        <v>172</v>
      </c>
    </row>
    <row r="113" spans="1:23" ht="20.399999999999999" x14ac:dyDescent="0.3">
      <c r="A113" s="2" t="s">
        <v>158</v>
      </c>
      <c r="B113" s="2" t="s">
        <v>281</v>
      </c>
      <c r="C113" s="2" t="s">
        <v>25</v>
      </c>
      <c r="D113" s="3">
        <f t="shared" si="4"/>
        <v>0.16575591985428043</v>
      </c>
      <c r="E113" s="4">
        <f t="shared" si="5"/>
        <v>9</v>
      </c>
      <c r="F113" s="4">
        <f t="shared" si="6"/>
        <v>10.491803278688524</v>
      </c>
      <c r="G113" s="4">
        <f t="shared" si="7"/>
        <v>1.4918032786885238</v>
      </c>
      <c r="H113" s="2" t="s">
        <v>26</v>
      </c>
      <c r="I113" s="2" t="s">
        <v>27</v>
      </c>
      <c r="J113" s="4">
        <v>2.25</v>
      </c>
      <c r="K113" s="4">
        <v>2.622950819672131</v>
      </c>
      <c r="L113" s="4">
        <v>4</v>
      </c>
      <c r="M113" s="2" t="s">
        <v>55</v>
      </c>
      <c r="N113" s="2" t="s">
        <v>29</v>
      </c>
      <c r="O113" s="2" t="s">
        <v>160</v>
      </c>
      <c r="P113" s="2" t="s">
        <v>161</v>
      </c>
      <c r="Q113" s="2" t="s">
        <v>56</v>
      </c>
      <c r="R113" s="2" t="s">
        <v>229</v>
      </c>
      <c r="T113" s="2" t="s">
        <v>230</v>
      </c>
      <c r="U113" s="2" t="s">
        <v>282</v>
      </c>
      <c r="W113" s="2" t="s">
        <v>232</v>
      </c>
    </row>
    <row r="114" spans="1:23" ht="20.399999999999999" x14ac:dyDescent="0.3">
      <c r="A114" s="2" t="s">
        <v>158</v>
      </c>
      <c r="B114" s="2" t="s">
        <v>281</v>
      </c>
      <c r="C114" s="2" t="s">
        <v>25</v>
      </c>
      <c r="D114" s="3">
        <f t="shared" si="4"/>
        <v>0.16575591985428043</v>
      </c>
      <c r="E114" s="4">
        <f t="shared" si="5"/>
        <v>4.5</v>
      </c>
      <c r="F114" s="4">
        <f t="shared" si="6"/>
        <v>5.2459016393442619</v>
      </c>
      <c r="G114" s="4">
        <f t="shared" si="7"/>
        <v>0.7459016393442619</v>
      </c>
      <c r="H114" s="2" t="s">
        <v>26</v>
      </c>
      <c r="I114" s="2" t="s">
        <v>27</v>
      </c>
      <c r="J114" s="4">
        <v>2.25</v>
      </c>
      <c r="K114" s="4">
        <v>2.622950819672131</v>
      </c>
      <c r="L114" s="4">
        <v>2</v>
      </c>
      <c r="M114" s="2" t="s">
        <v>55</v>
      </c>
      <c r="N114" s="2" t="s">
        <v>29</v>
      </c>
      <c r="O114" s="2" t="s">
        <v>160</v>
      </c>
      <c r="P114" s="2" t="s">
        <v>161</v>
      </c>
      <c r="Q114" s="2" t="s">
        <v>56</v>
      </c>
      <c r="R114" s="2" t="s">
        <v>275</v>
      </c>
      <c r="T114" s="2" t="s">
        <v>276</v>
      </c>
      <c r="U114" s="2" t="s">
        <v>282</v>
      </c>
      <c r="W114" s="2" t="s">
        <v>278</v>
      </c>
    </row>
    <row r="115" spans="1:23" ht="20.399999999999999" x14ac:dyDescent="0.3">
      <c r="A115" s="2" t="s">
        <v>354</v>
      </c>
      <c r="B115" s="2" t="s">
        <v>355</v>
      </c>
      <c r="C115" s="2" t="s">
        <v>25</v>
      </c>
      <c r="D115" s="3">
        <f t="shared" si="4"/>
        <v>0.1271649532277484</v>
      </c>
      <c r="E115" s="4">
        <f t="shared" si="5"/>
        <v>2.3010000000000002</v>
      </c>
      <c r="F115" s="4">
        <f t="shared" si="6"/>
        <v>2.5936065573770493</v>
      </c>
      <c r="G115" s="4">
        <f t="shared" si="7"/>
        <v>0.2926065573770491</v>
      </c>
      <c r="H115" s="2" t="s">
        <v>26</v>
      </c>
      <c r="I115" s="2" t="s">
        <v>27</v>
      </c>
      <c r="J115" s="4">
        <v>2.3010000000000002</v>
      </c>
      <c r="K115" s="4">
        <v>2.5936065573770493</v>
      </c>
      <c r="L115" s="4">
        <v>1</v>
      </c>
      <c r="M115" s="2" t="s">
        <v>55</v>
      </c>
      <c r="N115" s="2" t="s">
        <v>29</v>
      </c>
      <c r="O115" s="2" t="s">
        <v>554</v>
      </c>
      <c r="P115" s="2" t="s">
        <v>63</v>
      </c>
      <c r="Q115" s="2" t="s">
        <v>56</v>
      </c>
      <c r="R115" s="2" t="s">
        <v>555</v>
      </c>
      <c r="T115" s="2" t="s">
        <v>556</v>
      </c>
      <c r="U115" s="2" t="s">
        <v>356</v>
      </c>
      <c r="W115" s="2" t="s">
        <v>557</v>
      </c>
    </row>
    <row r="116" spans="1:23" ht="20.399999999999999" x14ac:dyDescent="0.3">
      <c r="A116" s="2" t="s">
        <v>158</v>
      </c>
      <c r="B116" s="2" t="s">
        <v>343</v>
      </c>
      <c r="C116" s="2" t="s">
        <v>25</v>
      </c>
      <c r="D116" s="3">
        <f t="shared" si="4"/>
        <v>7.6322764800514337E-2</v>
      </c>
      <c r="E116" s="4">
        <f t="shared" si="5"/>
        <v>2.2846459016393443</v>
      </c>
      <c r="F116" s="4">
        <f t="shared" si="6"/>
        <v>2.459016393442623</v>
      </c>
      <c r="G116" s="4">
        <f t="shared" si="7"/>
        <v>0.17437049180327868</v>
      </c>
      <c r="H116" s="2" t="s">
        <v>26</v>
      </c>
      <c r="I116" s="2" t="s">
        <v>27</v>
      </c>
      <c r="J116" s="4">
        <v>2.2846459016393443</v>
      </c>
      <c r="K116" s="4">
        <v>2.459016393442623</v>
      </c>
      <c r="L116" s="4">
        <v>1</v>
      </c>
      <c r="M116" s="2" t="s">
        <v>344</v>
      </c>
      <c r="N116" s="2" t="s">
        <v>328</v>
      </c>
      <c r="O116" s="2" t="s">
        <v>312</v>
      </c>
      <c r="P116" s="2" t="s">
        <v>313</v>
      </c>
      <c r="Q116" s="2" t="s">
        <v>345</v>
      </c>
      <c r="R116" s="2" t="s">
        <v>329</v>
      </c>
      <c r="T116" s="2" t="s">
        <v>330</v>
      </c>
      <c r="U116" s="2" t="s">
        <v>346</v>
      </c>
      <c r="W116" s="2" t="s">
        <v>331</v>
      </c>
    </row>
    <row r="117" spans="1:23" ht="20.399999999999999" x14ac:dyDescent="0.3">
      <c r="A117" s="2" t="s">
        <v>158</v>
      </c>
      <c r="B117" s="2" t="s">
        <v>272</v>
      </c>
      <c r="C117" s="2" t="s">
        <v>25</v>
      </c>
      <c r="D117" s="3">
        <f t="shared" si="4"/>
        <v>6.9137562366357916E-2</v>
      </c>
      <c r="E117" s="4">
        <f t="shared" si="5"/>
        <v>2.2999999999999998</v>
      </c>
      <c r="F117" s="4">
        <f t="shared" si="6"/>
        <v>2.459016393442623</v>
      </c>
      <c r="G117" s="4">
        <f t="shared" si="7"/>
        <v>0.15901639344262319</v>
      </c>
      <c r="H117" s="2" t="s">
        <v>26</v>
      </c>
      <c r="I117" s="2" t="s">
        <v>27</v>
      </c>
      <c r="J117" s="4">
        <v>2.2999999999999998</v>
      </c>
      <c r="K117" s="4">
        <v>2.459016393442623</v>
      </c>
      <c r="L117" s="4">
        <v>1</v>
      </c>
      <c r="M117" s="2" t="s">
        <v>273</v>
      </c>
      <c r="N117" s="2" t="s">
        <v>29</v>
      </c>
      <c r="O117" s="2" t="s">
        <v>160</v>
      </c>
      <c r="P117" s="2" t="s">
        <v>161</v>
      </c>
      <c r="Q117" s="2" t="s">
        <v>274</v>
      </c>
      <c r="R117" s="2" t="s">
        <v>275</v>
      </c>
      <c r="T117" s="2" t="s">
        <v>276</v>
      </c>
      <c r="U117" s="2" t="s">
        <v>277</v>
      </c>
      <c r="W117" s="2" t="s">
        <v>278</v>
      </c>
    </row>
    <row r="118" spans="1:23" ht="20.399999999999999" x14ac:dyDescent="0.3">
      <c r="A118" s="2" t="s">
        <v>158</v>
      </c>
      <c r="B118" s="2" t="s">
        <v>279</v>
      </c>
      <c r="C118" s="2" t="s">
        <v>25</v>
      </c>
      <c r="D118" s="3">
        <f t="shared" si="4"/>
        <v>6.9137562366357916E-2</v>
      </c>
      <c r="E118" s="4">
        <f t="shared" si="5"/>
        <v>2.2999999999999998</v>
      </c>
      <c r="F118" s="4">
        <f t="shared" si="6"/>
        <v>2.459016393442623</v>
      </c>
      <c r="G118" s="4">
        <f t="shared" si="7"/>
        <v>0.15901639344262319</v>
      </c>
      <c r="H118" s="2" t="s">
        <v>26</v>
      </c>
      <c r="I118" s="2" t="s">
        <v>27</v>
      </c>
      <c r="J118" s="4">
        <v>2.2999999999999998</v>
      </c>
      <c r="K118" s="4">
        <v>2.459016393442623</v>
      </c>
      <c r="L118" s="4">
        <v>1</v>
      </c>
      <c r="M118" s="2" t="s">
        <v>273</v>
      </c>
      <c r="N118" s="2" t="s">
        <v>29</v>
      </c>
      <c r="O118" s="2" t="s">
        <v>160</v>
      </c>
      <c r="P118" s="2" t="s">
        <v>161</v>
      </c>
      <c r="Q118" s="2" t="s">
        <v>274</v>
      </c>
      <c r="R118" s="2" t="s">
        <v>275</v>
      </c>
      <c r="T118" s="2" t="s">
        <v>276</v>
      </c>
      <c r="U118" s="2" t="s">
        <v>280</v>
      </c>
      <c r="W118" s="2" t="s">
        <v>278</v>
      </c>
    </row>
    <row r="119" spans="1:23" ht="20.399999999999999" x14ac:dyDescent="0.3">
      <c r="A119" s="2" t="s">
        <v>158</v>
      </c>
      <c r="B119" s="2" t="s">
        <v>279</v>
      </c>
      <c r="C119" s="2" t="s">
        <v>25</v>
      </c>
      <c r="D119" s="3">
        <f t="shared" si="4"/>
        <v>6.9137562366357916E-2</v>
      </c>
      <c r="E119" s="4">
        <f t="shared" si="5"/>
        <v>2.2999999999999998</v>
      </c>
      <c r="F119" s="4">
        <f t="shared" si="6"/>
        <v>2.459016393442623</v>
      </c>
      <c r="G119" s="4">
        <f t="shared" si="7"/>
        <v>0.15901639344262319</v>
      </c>
      <c r="H119" s="2" t="s">
        <v>26</v>
      </c>
      <c r="I119" s="2" t="s">
        <v>27</v>
      </c>
      <c r="J119" s="4">
        <v>2.2999999999999998</v>
      </c>
      <c r="K119" s="4">
        <v>2.459016393442623</v>
      </c>
      <c r="L119" s="4">
        <v>1</v>
      </c>
      <c r="M119" s="2" t="s">
        <v>273</v>
      </c>
      <c r="N119" s="2" t="s">
        <v>328</v>
      </c>
      <c r="O119" s="2" t="s">
        <v>312</v>
      </c>
      <c r="P119" s="2" t="s">
        <v>313</v>
      </c>
      <c r="Q119" s="2" t="s">
        <v>274</v>
      </c>
      <c r="R119" s="2" t="s">
        <v>329</v>
      </c>
      <c r="T119" s="2" t="s">
        <v>330</v>
      </c>
      <c r="U119" s="2" t="s">
        <v>280</v>
      </c>
      <c r="W119" s="2" t="s">
        <v>331</v>
      </c>
    </row>
    <row r="120" spans="1:23" ht="20.399999999999999" x14ac:dyDescent="0.3">
      <c r="A120" s="2" t="s">
        <v>158</v>
      </c>
      <c r="B120" s="2" t="s">
        <v>332</v>
      </c>
      <c r="C120" s="2" t="s">
        <v>25</v>
      </c>
      <c r="D120" s="3">
        <f t="shared" si="4"/>
        <v>6.9137562366357916E-2</v>
      </c>
      <c r="E120" s="4">
        <f t="shared" si="5"/>
        <v>2.2999999999999998</v>
      </c>
      <c r="F120" s="4">
        <f t="shared" si="6"/>
        <v>2.459016393442623</v>
      </c>
      <c r="G120" s="4">
        <f t="shared" si="7"/>
        <v>0.15901639344262319</v>
      </c>
      <c r="H120" s="2" t="s">
        <v>26</v>
      </c>
      <c r="I120" s="2" t="s">
        <v>27</v>
      </c>
      <c r="J120" s="4">
        <v>2.2999999999999998</v>
      </c>
      <c r="K120" s="4">
        <v>2.459016393442623</v>
      </c>
      <c r="L120" s="4">
        <v>1</v>
      </c>
      <c r="M120" s="2" t="s">
        <v>273</v>
      </c>
      <c r="N120" s="2" t="s">
        <v>328</v>
      </c>
      <c r="O120" s="2" t="s">
        <v>312</v>
      </c>
      <c r="P120" s="2" t="s">
        <v>313</v>
      </c>
      <c r="Q120" s="2" t="s">
        <v>274</v>
      </c>
      <c r="R120" s="2" t="s">
        <v>329</v>
      </c>
      <c r="T120" s="2" t="s">
        <v>330</v>
      </c>
      <c r="U120" s="2" t="s">
        <v>333</v>
      </c>
      <c r="W120" s="2" t="s">
        <v>331</v>
      </c>
    </row>
    <row r="121" spans="1:23" ht="20.399999999999999" x14ac:dyDescent="0.3">
      <c r="A121" s="2" t="s">
        <v>158</v>
      </c>
      <c r="B121" s="2" t="s">
        <v>334</v>
      </c>
      <c r="C121" s="2" t="s">
        <v>25</v>
      </c>
      <c r="D121" s="3">
        <f t="shared" si="4"/>
        <v>0.1243787807236503</v>
      </c>
      <c r="E121" s="4">
        <f t="shared" si="5"/>
        <v>2.1869999999999998</v>
      </c>
      <c r="F121" s="4">
        <f t="shared" si="6"/>
        <v>2.459016393442623</v>
      </c>
      <c r="G121" s="4">
        <f t="shared" si="7"/>
        <v>0.27201639344262318</v>
      </c>
      <c r="H121" s="2" t="s">
        <v>26</v>
      </c>
      <c r="I121" s="2" t="s">
        <v>27</v>
      </c>
      <c r="J121" s="4">
        <v>2.1869999999999998</v>
      </c>
      <c r="K121" s="4">
        <v>2.459016393442623</v>
      </c>
      <c r="L121" s="4">
        <v>1</v>
      </c>
      <c r="M121" s="2" t="s">
        <v>55</v>
      </c>
      <c r="N121" s="2" t="s">
        <v>328</v>
      </c>
      <c r="O121" s="2" t="s">
        <v>312</v>
      </c>
      <c r="P121" s="2" t="s">
        <v>313</v>
      </c>
      <c r="Q121" s="2" t="s">
        <v>56</v>
      </c>
      <c r="R121" s="2" t="s">
        <v>329</v>
      </c>
      <c r="T121" s="2" t="s">
        <v>330</v>
      </c>
      <c r="U121" s="2" t="s">
        <v>335</v>
      </c>
      <c r="W121" s="2" t="s">
        <v>331</v>
      </c>
    </row>
    <row r="122" spans="1:23" ht="20.399999999999999" x14ac:dyDescent="0.3">
      <c r="A122" s="2" t="s">
        <v>158</v>
      </c>
      <c r="B122" s="2" t="s">
        <v>200</v>
      </c>
      <c r="C122" s="2" t="s">
        <v>25</v>
      </c>
      <c r="D122" s="3">
        <f t="shared" si="4"/>
        <v>0.13738038549612538</v>
      </c>
      <c r="E122" s="4">
        <f t="shared" si="5"/>
        <v>2.1619999999999999</v>
      </c>
      <c r="F122" s="4">
        <f t="shared" si="6"/>
        <v>2.459016393442623</v>
      </c>
      <c r="G122" s="4">
        <f t="shared" si="7"/>
        <v>0.29701639344262309</v>
      </c>
      <c r="H122" s="2" t="s">
        <v>26</v>
      </c>
      <c r="I122" s="2" t="s">
        <v>27</v>
      </c>
      <c r="J122" s="4">
        <v>2.1619999999999999</v>
      </c>
      <c r="K122" s="4">
        <v>2.459016393442623</v>
      </c>
      <c r="L122" s="4">
        <v>1</v>
      </c>
      <c r="M122" s="2" t="s">
        <v>55</v>
      </c>
      <c r="N122" s="2" t="s">
        <v>29</v>
      </c>
      <c r="O122" s="2" t="s">
        <v>160</v>
      </c>
      <c r="P122" s="2" t="s">
        <v>161</v>
      </c>
      <c r="Q122" s="2" t="s">
        <v>56</v>
      </c>
      <c r="R122" s="2" t="s">
        <v>169</v>
      </c>
      <c r="T122" s="2" t="s">
        <v>170</v>
      </c>
      <c r="U122" s="2" t="s">
        <v>201</v>
      </c>
      <c r="W122" s="2" t="s">
        <v>172</v>
      </c>
    </row>
    <row r="123" spans="1:23" x14ac:dyDescent="0.3">
      <c r="A123" s="2" t="s">
        <v>336</v>
      </c>
      <c r="B123" s="2" t="s">
        <v>487</v>
      </c>
      <c r="C123" s="2" t="s">
        <v>25</v>
      </c>
      <c r="D123" s="3">
        <f t="shared" si="4"/>
        <v>-1.0043183084548048E-2</v>
      </c>
      <c r="E123" s="4">
        <f t="shared" si="5"/>
        <v>26.832000000000001</v>
      </c>
      <c r="F123" s="4">
        <f t="shared" si="6"/>
        <v>26.562521311475408</v>
      </c>
      <c r="G123" s="4">
        <f t="shared" si="7"/>
        <v>-0.26947868852459322</v>
      </c>
      <c r="H123" s="2" t="s">
        <v>26</v>
      </c>
      <c r="I123" s="2" t="s">
        <v>27</v>
      </c>
      <c r="J123" s="4">
        <v>2.2360000000000002</v>
      </c>
      <c r="K123" s="4">
        <v>2.2135434426229508</v>
      </c>
      <c r="L123" s="4">
        <v>12</v>
      </c>
      <c r="M123" s="2" t="s">
        <v>55</v>
      </c>
      <c r="N123" s="2" t="s">
        <v>29</v>
      </c>
      <c r="O123" s="2" t="s">
        <v>488</v>
      </c>
      <c r="P123" s="2" t="s">
        <v>135</v>
      </c>
      <c r="Q123" s="2" t="s">
        <v>56</v>
      </c>
      <c r="R123" s="2" t="s">
        <v>489</v>
      </c>
      <c r="T123" s="2" t="s">
        <v>490</v>
      </c>
      <c r="U123" s="2" t="s">
        <v>491</v>
      </c>
      <c r="W123" s="2" t="s">
        <v>492</v>
      </c>
    </row>
    <row r="124" spans="1:23" x14ac:dyDescent="0.3">
      <c r="A124" s="2" t="s">
        <v>158</v>
      </c>
      <c r="B124" s="2" t="s">
        <v>190</v>
      </c>
      <c r="C124" s="2" t="s">
        <v>25</v>
      </c>
      <c r="D124" s="3">
        <f t="shared" si="4"/>
        <v>0.38319672131147536</v>
      </c>
      <c r="E124" s="4">
        <f t="shared" si="5"/>
        <v>1.6</v>
      </c>
      <c r="F124" s="4">
        <f t="shared" si="6"/>
        <v>2.2131147540983607</v>
      </c>
      <c r="G124" s="4">
        <f t="shared" si="7"/>
        <v>0.61311475409836058</v>
      </c>
      <c r="H124" s="2" t="s">
        <v>26</v>
      </c>
      <c r="I124" s="2" t="s">
        <v>27</v>
      </c>
      <c r="J124" s="4">
        <v>1.6</v>
      </c>
      <c r="K124" s="4">
        <v>2.2131147540983607</v>
      </c>
      <c r="L124" s="4">
        <v>1</v>
      </c>
      <c r="M124" s="2" t="s">
        <v>39</v>
      </c>
      <c r="N124" s="2" t="s">
        <v>29</v>
      </c>
      <c r="O124" s="2" t="s">
        <v>160</v>
      </c>
      <c r="P124" s="2" t="s">
        <v>161</v>
      </c>
      <c r="Q124" s="2" t="s">
        <v>40</v>
      </c>
      <c r="R124" s="2" t="s">
        <v>169</v>
      </c>
      <c r="T124" s="2" t="s">
        <v>170</v>
      </c>
      <c r="U124" s="2" t="s">
        <v>191</v>
      </c>
      <c r="W124" s="2" t="s">
        <v>172</v>
      </c>
    </row>
    <row r="125" spans="1:23" x14ac:dyDescent="0.3">
      <c r="A125" s="2" t="s">
        <v>158</v>
      </c>
      <c r="B125" s="2" t="s">
        <v>190</v>
      </c>
      <c r="C125" s="2" t="s">
        <v>25</v>
      </c>
      <c r="D125" s="3">
        <f t="shared" si="4"/>
        <v>0.38319672131147536</v>
      </c>
      <c r="E125" s="4">
        <f t="shared" si="5"/>
        <v>3.2</v>
      </c>
      <c r="F125" s="4">
        <f t="shared" si="6"/>
        <v>4.4262295081967213</v>
      </c>
      <c r="G125" s="4">
        <f t="shared" si="7"/>
        <v>1.2262295081967212</v>
      </c>
      <c r="H125" s="2" t="s">
        <v>26</v>
      </c>
      <c r="I125" s="2" t="s">
        <v>27</v>
      </c>
      <c r="J125" s="4">
        <v>1.6</v>
      </c>
      <c r="K125" s="4">
        <v>2.2131147540983607</v>
      </c>
      <c r="L125" s="4">
        <v>2</v>
      </c>
      <c r="M125" s="2" t="s">
        <v>39</v>
      </c>
      <c r="N125" s="2" t="s">
        <v>29</v>
      </c>
      <c r="O125" s="2" t="s">
        <v>160</v>
      </c>
      <c r="P125" s="2" t="s">
        <v>161</v>
      </c>
      <c r="Q125" s="2" t="s">
        <v>40</v>
      </c>
      <c r="R125" s="2" t="s">
        <v>162</v>
      </c>
      <c r="T125" s="2" t="s">
        <v>163</v>
      </c>
      <c r="U125" s="2" t="s">
        <v>191</v>
      </c>
      <c r="W125" s="2" t="s">
        <v>165</v>
      </c>
    </row>
    <row r="126" spans="1:23" x14ac:dyDescent="0.3">
      <c r="A126" s="2" t="s">
        <v>297</v>
      </c>
      <c r="B126" s="2" t="s">
        <v>298</v>
      </c>
      <c r="C126" s="2" t="s">
        <v>25</v>
      </c>
      <c r="D126" s="3">
        <f t="shared" si="4"/>
        <v>0.1839708561020037</v>
      </c>
      <c r="E126" s="4">
        <f t="shared" si="5"/>
        <v>1.8</v>
      </c>
      <c r="F126" s="4">
        <f t="shared" si="6"/>
        <v>2.1311475409836067</v>
      </c>
      <c r="G126" s="4">
        <f t="shared" si="7"/>
        <v>0.33114754098360666</v>
      </c>
      <c r="H126" s="2" t="s">
        <v>26</v>
      </c>
      <c r="I126" s="2" t="s">
        <v>27</v>
      </c>
      <c r="J126" s="4">
        <v>1.8</v>
      </c>
      <c r="K126" s="4">
        <v>2.1311475409836067</v>
      </c>
      <c r="L126" s="4">
        <v>1</v>
      </c>
      <c r="M126" s="2" t="s">
        <v>55</v>
      </c>
      <c r="N126" s="2" t="s">
        <v>29</v>
      </c>
      <c r="O126" s="2" t="s">
        <v>160</v>
      </c>
      <c r="P126" s="2" t="s">
        <v>161</v>
      </c>
      <c r="Q126" s="2" t="s">
        <v>56</v>
      </c>
      <c r="R126" s="2" t="s">
        <v>275</v>
      </c>
      <c r="T126" s="2" t="s">
        <v>276</v>
      </c>
      <c r="U126" s="2" t="s">
        <v>299</v>
      </c>
      <c r="W126" s="2" t="s">
        <v>278</v>
      </c>
    </row>
    <row r="127" spans="1:23" x14ac:dyDescent="0.3">
      <c r="A127" s="2" t="s">
        <v>439</v>
      </c>
      <c r="B127" s="2" t="s">
        <v>746</v>
      </c>
      <c r="C127" s="2" t="s">
        <v>25</v>
      </c>
      <c r="D127" s="3">
        <f t="shared" si="4"/>
        <v>0.30745247913104712</v>
      </c>
      <c r="E127" s="4">
        <f t="shared" si="5"/>
        <v>3.26</v>
      </c>
      <c r="F127" s="4">
        <f t="shared" si="6"/>
        <v>4.2622950819672134</v>
      </c>
      <c r="G127" s="4">
        <f t="shared" si="7"/>
        <v>1.0022950819672136</v>
      </c>
      <c r="H127" s="2" t="s">
        <v>26</v>
      </c>
      <c r="I127" s="2" t="s">
        <v>27</v>
      </c>
      <c r="J127" s="4">
        <v>1.63</v>
      </c>
      <c r="K127" s="4">
        <v>2.1311475409836067</v>
      </c>
      <c r="L127" s="4">
        <v>2</v>
      </c>
      <c r="M127" s="2" t="s">
        <v>55</v>
      </c>
      <c r="N127" s="2" t="s">
        <v>29</v>
      </c>
      <c r="O127" s="2" t="s">
        <v>717</v>
      </c>
      <c r="P127" s="2" t="s">
        <v>718</v>
      </c>
      <c r="Q127" s="2" t="s">
        <v>56</v>
      </c>
      <c r="R127" s="2" t="s">
        <v>729</v>
      </c>
      <c r="T127" s="2" t="s">
        <v>730</v>
      </c>
      <c r="U127" s="2" t="s">
        <v>747</v>
      </c>
      <c r="W127" s="2" t="s">
        <v>505</v>
      </c>
    </row>
    <row r="128" spans="1:23" x14ac:dyDescent="0.3">
      <c r="A128" s="2" t="s">
        <v>439</v>
      </c>
      <c r="B128" s="2" t="s">
        <v>748</v>
      </c>
      <c r="C128" s="2" t="s">
        <v>25</v>
      </c>
      <c r="D128" s="3">
        <f t="shared" si="4"/>
        <v>0.30745247913104712</v>
      </c>
      <c r="E128" s="4">
        <f t="shared" si="5"/>
        <v>3.26</v>
      </c>
      <c r="F128" s="4">
        <f t="shared" si="6"/>
        <v>4.2622950819672134</v>
      </c>
      <c r="G128" s="4">
        <f t="shared" si="7"/>
        <v>1.0022950819672136</v>
      </c>
      <c r="H128" s="2" t="s">
        <v>26</v>
      </c>
      <c r="I128" s="2" t="s">
        <v>27</v>
      </c>
      <c r="J128" s="4">
        <v>1.63</v>
      </c>
      <c r="K128" s="4">
        <v>2.1311475409836067</v>
      </c>
      <c r="L128" s="4">
        <v>2</v>
      </c>
      <c r="M128" s="2" t="s">
        <v>55</v>
      </c>
      <c r="N128" s="2" t="s">
        <v>29</v>
      </c>
      <c r="O128" s="2" t="s">
        <v>717</v>
      </c>
      <c r="P128" s="2" t="s">
        <v>718</v>
      </c>
      <c r="Q128" s="2" t="s">
        <v>56</v>
      </c>
      <c r="R128" s="2" t="s">
        <v>729</v>
      </c>
      <c r="T128" s="2" t="s">
        <v>730</v>
      </c>
      <c r="U128" s="2" t="s">
        <v>749</v>
      </c>
      <c r="W128" s="2" t="s">
        <v>505</v>
      </c>
    </row>
    <row r="129" spans="1:23" x14ac:dyDescent="0.3">
      <c r="A129" s="2" t="s">
        <v>439</v>
      </c>
      <c r="B129" s="2" t="s">
        <v>744</v>
      </c>
      <c r="C129" s="2" t="s">
        <v>25</v>
      </c>
      <c r="D129" s="3">
        <f t="shared" si="4"/>
        <v>0.34034436539849472</v>
      </c>
      <c r="E129" s="4">
        <f t="shared" si="5"/>
        <v>3.18</v>
      </c>
      <c r="F129" s="4">
        <f t="shared" si="6"/>
        <v>4.2622950819672134</v>
      </c>
      <c r="G129" s="4">
        <f t="shared" si="7"/>
        <v>1.0822950819672132</v>
      </c>
      <c r="H129" s="2" t="s">
        <v>26</v>
      </c>
      <c r="I129" s="2" t="s">
        <v>27</v>
      </c>
      <c r="J129" s="4">
        <v>1.59</v>
      </c>
      <c r="K129" s="4">
        <v>2.1311475409836067</v>
      </c>
      <c r="L129" s="4">
        <v>2</v>
      </c>
      <c r="M129" s="2" t="s">
        <v>525</v>
      </c>
      <c r="N129" s="2" t="s">
        <v>29</v>
      </c>
      <c r="O129" s="2" t="s">
        <v>717</v>
      </c>
      <c r="P129" s="2" t="s">
        <v>718</v>
      </c>
      <c r="Q129" s="2" t="s">
        <v>526</v>
      </c>
      <c r="R129" s="2" t="s">
        <v>729</v>
      </c>
      <c r="T129" s="2" t="s">
        <v>730</v>
      </c>
      <c r="U129" s="2" t="s">
        <v>745</v>
      </c>
      <c r="W129" s="2" t="s">
        <v>505</v>
      </c>
    </row>
    <row r="130" spans="1:23" x14ac:dyDescent="0.3">
      <c r="A130" s="2" t="s">
        <v>212</v>
      </c>
      <c r="B130" s="2" t="s">
        <v>217</v>
      </c>
      <c r="C130" s="2" t="s">
        <v>25</v>
      </c>
      <c r="D130" s="3">
        <f t="shared" si="4"/>
        <v>0.18559380228468667</v>
      </c>
      <c r="E130" s="4">
        <f t="shared" si="5"/>
        <v>5.1852</v>
      </c>
      <c r="F130" s="4">
        <f t="shared" si="6"/>
        <v>6.1475409836065573</v>
      </c>
      <c r="G130" s="4">
        <f t="shared" si="7"/>
        <v>0.96234098360655729</v>
      </c>
      <c r="H130" s="2" t="s">
        <v>26</v>
      </c>
      <c r="I130" s="2" t="s">
        <v>27</v>
      </c>
      <c r="J130" s="4">
        <v>1.7283999999999999</v>
      </c>
      <c r="K130" s="4">
        <v>2.0491803278688523</v>
      </c>
      <c r="L130" s="4">
        <v>3</v>
      </c>
      <c r="M130" s="2" t="s">
        <v>218</v>
      </c>
      <c r="N130" s="2" t="s">
        <v>29</v>
      </c>
      <c r="O130" s="2" t="s">
        <v>160</v>
      </c>
      <c r="P130" s="2" t="s">
        <v>161</v>
      </c>
      <c r="Q130" s="2" t="s">
        <v>219</v>
      </c>
      <c r="R130" s="2" t="s">
        <v>162</v>
      </c>
      <c r="T130" s="2" t="s">
        <v>163</v>
      </c>
      <c r="U130" s="2" t="s">
        <v>220</v>
      </c>
      <c r="W130" s="2" t="s">
        <v>165</v>
      </c>
    </row>
    <row r="131" spans="1:23" x14ac:dyDescent="0.3">
      <c r="A131" s="2" t="s">
        <v>212</v>
      </c>
      <c r="B131" s="2" t="s">
        <v>221</v>
      </c>
      <c r="C131" s="2" t="s">
        <v>25</v>
      </c>
      <c r="D131" s="3">
        <f t="shared" ref="D131:D194" si="8">G131/E131</f>
        <v>0.17593962989847181</v>
      </c>
      <c r="E131" s="4">
        <f t="shared" ref="E131:E194" si="9">J131*L131</f>
        <v>1.7390000000000001</v>
      </c>
      <c r="F131" s="4">
        <f t="shared" ref="F131:F194" si="10">K131*L131</f>
        <v>2.0449590163934426</v>
      </c>
      <c r="G131" s="4">
        <f t="shared" ref="G131:G194" si="11">F131-E131</f>
        <v>0.30595901639344247</v>
      </c>
      <c r="H131" s="2" t="s">
        <v>26</v>
      </c>
      <c r="I131" s="2" t="s">
        <v>27</v>
      </c>
      <c r="J131" s="4">
        <v>1.7390000000000001</v>
      </c>
      <c r="K131" s="4">
        <v>2.0449590163934426</v>
      </c>
      <c r="L131" s="4">
        <v>1</v>
      </c>
      <c r="M131" s="2" t="s">
        <v>222</v>
      </c>
      <c r="N131" s="2" t="s">
        <v>29</v>
      </c>
      <c r="O131" s="2" t="s">
        <v>554</v>
      </c>
      <c r="P131" s="2" t="s">
        <v>63</v>
      </c>
      <c r="Q131" s="2" t="s">
        <v>223</v>
      </c>
      <c r="R131" s="2" t="s">
        <v>555</v>
      </c>
      <c r="T131" s="2" t="s">
        <v>556</v>
      </c>
      <c r="U131" s="2" t="s">
        <v>224</v>
      </c>
      <c r="W131" s="2" t="s">
        <v>557</v>
      </c>
    </row>
    <row r="132" spans="1:23" x14ac:dyDescent="0.3">
      <c r="A132" s="2" t="s">
        <v>212</v>
      </c>
      <c r="B132" s="2" t="s">
        <v>221</v>
      </c>
      <c r="C132" s="2" t="s">
        <v>25</v>
      </c>
      <c r="D132" s="3">
        <f t="shared" si="8"/>
        <v>0.13123238341236226</v>
      </c>
      <c r="E132" s="4">
        <f t="shared" si="9"/>
        <v>5.2170000000000005</v>
      </c>
      <c r="F132" s="4">
        <f t="shared" si="10"/>
        <v>5.9016393442622945</v>
      </c>
      <c r="G132" s="4">
        <f t="shared" si="11"/>
        <v>0.684639344262294</v>
      </c>
      <c r="H132" s="2" t="s">
        <v>26</v>
      </c>
      <c r="I132" s="2" t="s">
        <v>27</v>
      </c>
      <c r="J132" s="4">
        <v>1.7390000000000001</v>
      </c>
      <c r="K132" s="4">
        <v>1.9672131147540983</v>
      </c>
      <c r="L132" s="4">
        <v>3</v>
      </c>
      <c r="M132" s="2" t="s">
        <v>222</v>
      </c>
      <c r="N132" s="2" t="s">
        <v>29</v>
      </c>
      <c r="O132" s="2" t="s">
        <v>160</v>
      </c>
      <c r="P132" s="2" t="s">
        <v>161</v>
      </c>
      <c r="Q132" s="2" t="s">
        <v>223</v>
      </c>
      <c r="R132" s="2" t="s">
        <v>162</v>
      </c>
      <c r="T132" s="2" t="s">
        <v>163</v>
      </c>
      <c r="U132" s="2" t="s">
        <v>224</v>
      </c>
      <c r="W132" s="2" t="s">
        <v>165</v>
      </c>
    </row>
    <row r="133" spans="1:23" x14ac:dyDescent="0.3">
      <c r="A133" s="2" t="s">
        <v>158</v>
      </c>
      <c r="B133" s="2" t="s">
        <v>192</v>
      </c>
      <c r="C133" s="2" t="s">
        <v>25</v>
      </c>
      <c r="D133" s="3">
        <f t="shared" si="8"/>
        <v>0.17975338024990253</v>
      </c>
      <c r="E133" s="4">
        <f t="shared" si="9"/>
        <v>1.5980000000000001</v>
      </c>
      <c r="F133" s="4">
        <f t="shared" si="10"/>
        <v>1.8852459016393444</v>
      </c>
      <c r="G133" s="4">
        <f t="shared" si="11"/>
        <v>0.28724590163934427</v>
      </c>
      <c r="H133" s="2" t="s">
        <v>26</v>
      </c>
      <c r="I133" s="2" t="s">
        <v>27</v>
      </c>
      <c r="J133" s="4">
        <v>1.5980000000000001</v>
      </c>
      <c r="K133" s="4">
        <v>1.8852459016393444</v>
      </c>
      <c r="L133" s="4">
        <v>1</v>
      </c>
      <c r="M133" s="2" t="s">
        <v>193</v>
      </c>
      <c r="N133" s="2" t="s">
        <v>29</v>
      </c>
      <c r="O133" s="2" t="s">
        <v>160</v>
      </c>
      <c r="P133" s="2" t="s">
        <v>161</v>
      </c>
      <c r="Q133" s="2" t="s">
        <v>194</v>
      </c>
      <c r="R133" s="2" t="s">
        <v>169</v>
      </c>
      <c r="T133" s="2" t="s">
        <v>170</v>
      </c>
      <c r="U133" s="2" t="s">
        <v>195</v>
      </c>
      <c r="W133" s="2" t="s">
        <v>172</v>
      </c>
    </row>
    <row r="134" spans="1:23" x14ac:dyDescent="0.3">
      <c r="A134" s="2" t="s">
        <v>158</v>
      </c>
      <c r="B134" s="2" t="s">
        <v>192</v>
      </c>
      <c r="C134" s="2" t="s">
        <v>25</v>
      </c>
      <c r="D134" s="3">
        <f t="shared" si="8"/>
        <v>0.17975338024990253</v>
      </c>
      <c r="E134" s="4">
        <f t="shared" si="9"/>
        <v>3.1960000000000002</v>
      </c>
      <c r="F134" s="4">
        <f t="shared" si="10"/>
        <v>3.7704918032786887</v>
      </c>
      <c r="G134" s="4">
        <f t="shared" si="11"/>
        <v>0.57449180327868854</v>
      </c>
      <c r="H134" s="2" t="s">
        <v>26</v>
      </c>
      <c r="I134" s="2" t="s">
        <v>27</v>
      </c>
      <c r="J134" s="4">
        <v>1.5980000000000001</v>
      </c>
      <c r="K134" s="4">
        <v>1.8852459016393444</v>
      </c>
      <c r="L134" s="4">
        <v>2</v>
      </c>
      <c r="M134" s="2" t="s">
        <v>193</v>
      </c>
      <c r="N134" s="2" t="s">
        <v>29</v>
      </c>
      <c r="O134" s="2" t="s">
        <v>160</v>
      </c>
      <c r="P134" s="2" t="s">
        <v>161</v>
      </c>
      <c r="Q134" s="2" t="s">
        <v>194</v>
      </c>
      <c r="R134" s="2" t="s">
        <v>162</v>
      </c>
      <c r="T134" s="2" t="s">
        <v>163</v>
      </c>
      <c r="U134" s="2" t="s">
        <v>195</v>
      </c>
      <c r="W134" s="2" t="s">
        <v>165</v>
      </c>
    </row>
    <row r="135" spans="1:23" x14ac:dyDescent="0.3">
      <c r="A135" s="2" t="s">
        <v>158</v>
      </c>
      <c r="B135" s="2" t="s">
        <v>196</v>
      </c>
      <c r="C135" s="2" t="s">
        <v>25</v>
      </c>
      <c r="D135" s="3">
        <f t="shared" si="8"/>
        <v>0.17975338024990256</v>
      </c>
      <c r="E135" s="4">
        <f t="shared" si="9"/>
        <v>9.588000000000001</v>
      </c>
      <c r="F135" s="4">
        <f t="shared" si="10"/>
        <v>11.311475409836067</v>
      </c>
      <c r="G135" s="4">
        <f t="shared" si="11"/>
        <v>1.7234754098360661</v>
      </c>
      <c r="H135" s="2" t="s">
        <v>26</v>
      </c>
      <c r="I135" s="2" t="s">
        <v>27</v>
      </c>
      <c r="J135" s="4">
        <v>1.5980000000000001</v>
      </c>
      <c r="K135" s="4">
        <v>1.8852459016393444</v>
      </c>
      <c r="L135" s="4">
        <v>6</v>
      </c>
      <c r="M135" s="2" t="s">
        <v>193</v>
      </c>
      <c r="N135" s="2" t="s">
        <v>29</v>
      </c>
      <c r="O135" s="2" t="s">
        <v>160</v>
      </c>
      <c r="P135" s="2" t="s">
        <v>161</v>
      </c>
      <c r="Q135" s="2" t="s">
        <v>194</v>
      </c>
      <c r="R135" s="2" t="s">
        <v>176</v>
      </c>
      <c r="T135" s="2" t="s">
        <v>177</v>
      </c>
      <c r="U135" s="2" t="s">
        <v>197</v>
      </c>
      <c r="W135" s="2" t="s">
        <v>179</v>
      </c>
    </row>
    <row r="136" spans="1:23" ht="20.399999999999999" x14ac:dyDescent="0.3">
      <c r="A136" s="2" t="s">
        <v>158</v>
      </c>
      <c r="B136" s="2" t="s">
        <v>198</v>
      </c>
      <c r="C136" s="2" t="s">
        <v>25</v>
      </c>
      <c r="D136" s="3">
        <f t="shared" si="8"/>
        <v>0.17975338024990256</v>
      </c>
      <c r="E136" s="4">
        <f t="shared" si="9"/>
        <v>9.588000000000001</v>
      </c>
      <c r="F136" s="4">
        <f t="shared" si="10"/>
        <v>11.311475409836067</v>
      </c>
      <c r="G136" s="4">
        <f t="shared" si="11"/>
        <v>1.7234754098360661</v>
      </c>
      <c r="H136" s="2" t="s">
        <v>26</v>
      </c>
      <c r="I136" s="2" t="s">
        <v>27</v>
      </c>
      <c r="J136" s="4">
        <v>1.5980000000000001</v>
      </c>
      <c r="K136" s="4">
        <v>1.8852459016393444</v>
      </c>
      <c r="L136" s="4">
        <v>6</v>
      </c>
      <c r="M136" s="2" t="s">
        <v>193</v>
      </c>
      <c r="N136" s="2" t="s">
        <v>29</v>
      </c>
      <c r="O136" s="2" t="s">
        <v>160</v>
      </c>
      <c r="P136" s="2" t="s">
        <v>161</v>
      </c>
      <c r="Q136" s="2" t="s">
        <v>194</v>
      </c>
      <c r="R136" s="2" t="s">
        <v>176</v>
      </c>
      <c r="T136" s="2" t="s">
        <v>177</v>
      </c>
      <c r="U136" s="2" t="s">
        <v>199</v>
      </c>
      <c r="W136" s="2" t="s">
        <v>179</v>
      </c>
    </row>
    <row r="137" spans="1:23" ht="20.399999999999999" x14ac:dyDescent="0.3">
      <c r="A137" s="2" t="s">
        <v>158</v>
      </c>
      <c r="B137" s="2" t="s">
        <v>206</v>
      </c>
      <c r="C137" s="2" t="s">
        <v>25</v>
      </c>
      <c r="D137" s="3">
        <f t="shared" si="8"/>
        <v>0.20849096258932326</v>
      </c>
      <c r="E137" s="4">
        <f t="shared" si="9"/>
        <v>1.56</v>
      </c>
      <c r="F137" s="4">
        <f t="shared" si="10"/>
        <v>1.8852459016393444</v>
      </c>
      <c r="G137" s="4">
        <f t="shared" si="11"/>
        <v>0.3252459016393443</v>
      </c>
      <c r="H137" s="2" t="s">
        <v>26</v>
      </c>
      <c r="I137" s="2" t="s">
        <v>27</v>
      </c>
      <c r="J137" s="4">
        <v>1.56</v>
      </c>
      <c r="K137" s="4">
        <v>1.8852459016393444</v>
      </c>
      <c r="L137" s="4">
        <v>1</v>
      </c>
      <c r="M137" s="2" t="s">
        <v>55</v>
      </c>
      <c r="N137" s="2" t="s">
        <v>29</v>
      </c>
      <c r="O137" s="2" t="s">
        <v>160</v>
      </c>
      <c r="P137" s="2" t="s">
        <v>161</v>
      </c>
      <c r="Q137" s="2" t="s">
        <v>56</v>
      </c>
      <c r="R137" s="2" t="s">
        <v>169</v>
      </c>
      <c r="T137" s="2" t="s">
        <v>170</v>
      </c>
      <c r="U137" s="2" t="s">
        <v>207</v>
      </c>
      <c r="W137" s="2" t="s">
        <v>172</v>
      </c>
    </row>
    <row r="138" spans="1:23" ht="20.399999999999999" x14ac:dyDescent="0.3">
      <c r="A138" s="2" t="s">
        <v>158</v>
      </c>
      <c r="B138" s="2" t="s">
        <v>204</v>
      </c>
      <c r="C138" s="2" t="s">
        <v>25</v>
      </c>
      <c r="D138" s="3">
        <f t="shared" si="8"/>
        <v>0.21004229886992573</v>
      </c>
      <c r="E138" s="4">
        <f t="shared" si="9"/>
        <v>1.5580000000000001</v>
      </c>
      <c r="F138" s="4">
        <f t="shared" si="10"/>
        <v>1.8852459016393444</v>
      </c>
      <c r="G138" s="4">
        <f t="shared" si="11"/>
        <v>0.32724590163934431</v>
      </c>
      <c r="H138" s="2" t="s">
        <v>26</v>
      </c>
      <c r="I138" s="2" t="s">
        <v>27</v>
      </c>
      <c r="J138" s="4">
        <v>1.5580000000000001</v>
      </c>
      <c r="K138" s="4">
        <v>1.8852459016393444</v>
      </c>
      <c r="L138" s="4">
        <v>1</v>
      </c>
      <c r="M138" s="2" t="s">
        <v>55</v>
      </c>
      <c r="N138" s="2" t="s">
        <v>29</v>
      </c>
      <c r="O138" s="2" t="s">
        <v>160</v>
      </c>
      <c r="P138" s="2" t="s">
        <v>161</v>
      </c>
      <c r="Q138" s="2" t="s">
        <v>56</v>
      </c>
      <c r="R138" s="2" t="s">
        <v>169</v>
      </c>
      <c r="T138" s="2" t="s">
        <v>170</v>
      </c>
      <c r="U138" s="2" t="s">
        <v>205</v>
      </c>
      <c r="W138" s="2" t="s">
        <v>172</v>
      </c>
    </row>
    <row r="139" spans="1:23" ht="20.399999999999999" x14ac:dyDescent="0.3">
      <c r="A139" s="2" t="s">
        <v>158</v>
      </c>
      <c r="B139" s="2" t="s">
        <v>188</v>
      </c>
      <c r="C139" s="2" t="s">
        <v>25</v>
      </c>
      <c r="D139" s="3">
        <f t="shared" si="8"/>
        <v>0.12704918032786874</v>
      </c>
      <c r="E139" s="4">
        <f t="shared" si="9"/>
        <v>9.6000000000000014</v>
      </c>
      <c r="F139" s="4">
        <f t="shared" si="10"/>
        <v>10.819672131147541</v>
      </c>
      <c r="G139" s="4">
        <f t="shared" si="11"/>
        <v>1.21967213114754</v>
      </c>
      <c r="H139" s="2" t="s">
        <v>26</v>
      </c>
      <c r="I139" s="2" t="s">
        <v>27</v>
      </c>
      <c r="J139" s="4">
        <v>1.6</v>
      </c>
      <c r="K139" s="4">
        <v>1.8032786885245902</v>
      </c>
      <c r="L139" s="4">
        <v>6</v>
      </c>
      <c r="M139" s="2" t="s">
        <v>55</v>
      </c>
      <c r="N139" s="2" t="s">
        <v>29</v>
      </c>
      <c r="O139" s="2" t="s">
        <v>160</v>
      </c>
      <c r="P139" s="2" t="s">
        <v>161</v>
      </c>
      <c r="Q139" s="2" t="s">
        <v>56</v>
      </c>
      <c r="R139" s="2" t="s">
        <v>176</v>
      </c>
      <c r="T139" s="2" t="s">
        <v>177</v>
      </c>
      <c r="U139" s="2" t="s">
        <v>189</v>
      </c>
      <c r="W139" s="2" t="s">
        <v>179</v>
      </c>
    </row>
    <row r="140" spans="1:23" ht="20.399999999999999" x14ac:dyDescent="0.3">
      <c r="A140" s="2" t="s">
        <v>158</v>
      </c>
      <c r="B140" s="2" t="s">
        <v>188</v>
      </c>
      <c r="C140" s="2" t="s">
        <v>25</v>
      </c>
      <c r="D140" s="3">
        <f t="shared" si="8"/>
        <v>0.1270491803278688</v>
      </c>
      <c r="E140" s="4">
        <f t="shared" si="9"/>
        <v>3.2</v>
      </c>
      <c r="F140" s="4">
        <f t="shared" si="10"/>
        <v>3.6065573770491803</v>
      </c>
      <c r="G140" s="4">
        <f t="shared" si="11"/>
        <v>0.40655737704918016</v>
      </c>
      <c r="H140" s="2" t="s">
        <v>26</v>
      </c>
      <c r="I140" s="2" t="s">
        <v>27</v>
      </c>
      <c r="J140" s="4">
        <v>1.6</v>
      </c>
      <c r="K140" s="4">
        <v>1.8032786885245902</v>
      </c>
      <c r="L140" s="4">
        <v>2</v>
      </c>
      <c r="M140" s="2" t="s">
        <v>55</v>
      </c>
      <c r="N140" s="2" t="s">
        <v>29</v>
      </c>
      <c r="O140" s="2" t="s">
        <v>160</v>
      </c>
      <c r="P140" s="2" t="s">
        <v>161</v>
      </c>
      <c r="Q140" s="2" t="s">
        <v>56</v>
      </c>
      <c r="R140" s="2" t="s">
        <v>169</v>
      </c>
      <c r="T140" s="2" t="s">
        <v>170</v>
      </c>
      <c r="U140" s="2" t="s">
        <v>189</v>
      </c>
      <c r="W140" s="2" t="s">
        <v>172</v>
      </c>
    </row>
    <row r="141" spans="1:23" x14ac:dyDescent="0.3">
      <c r="A141" s="2" t="s">
        <v>158</v>
      </c>
      <c r="B141" s="2" t="s">
        <v>168</v>
      </c>
      <c r="C141" s="2" t="s">
        <v>25</v>
      </c>
      <c r="D141" s="3">
        <f t="shared" si="8"/>
        <v>0.15446779034864924</v>
      </c>
      <c r="E141" s="4">
        <f t="shared" si="9"/>
        <v>3.1240000000000001</v>
      </c>
      <c r="F141" s="4">
        <f t="shared" si="10"/>
        <v>3.6065573770491803</v>
      </c>
      <c r="G141" s="4">
        <f t="shared" si="11"/>
        <v>0.48255737704918023</v>
      </c>
      <c r="H141" s="2" t="s">
        <v>26</v>
      </c>
      <c r="I141" s="2" t="s">
        <v>27</v>
      </c>
      <c r="J141" s="4">
        <v>1.5620000000000001</v>
      </c>
      <c r="K141" s="4">
        <v>1.8032786885245902</v>
      </c>
      <c r="L141" s="4">
        <v>2</v>
      </c>
      <c r="M141" s="2" t="s">
        <v>55</v>
      </c>
      <c r="N141" s="2" t="s">
        <v>29</v>
      </c>
      <c r="O141" s="2" t="s">
        <v>160</v>
      </c>
      <c r="P141" s="2" t="s">
        <v>161</v>
      </c>
      <c r="Q141" s="2" t="s">
        <v>56</v>
      </c>
      <c r="R141" s="2" t="s">
        <v>169</v>
      </c>
      <c r="T141" s="2" t="s">
        <v>170</v>
      </c>
      <c r="U141" s="2" t="s">
        <v>171</v>
      </c>
      <c r="W141" s="2" t="s">
        <v>172</v>
      </c>
    </row>
    <row r="142" spans="1:23" ht="20.399999999999999" x14ac:dyDescent="0.3">
      <c r="A142" s="2" t="s">
        <v>158</v>
      </c>
      <c r="B142" s="2" t="s">
        <v>208</v>
      </c>
      <c r="C142" s="2" t="s">
        <v>25</v>
      </c>
      <c r="D142" s="3">
        <f t="shared" si="8"/>
        <v>0.15594787725935264</v>
      </c>
      <c r="E142" s="4">
        <f t="shared" si="9"/>
        <v>1.56</v>
      </c>
      <c r="F142" s="4">
        <f t="shared" si="10"/>
        <v>1.8032786885245902</v>
      </c>
      <c r="G142" s="4">
        <f t="shared" si="11"/>
        <v>0.24327868852459011</v>
      </c>
      <c r="H142" s="2" t="s">
        <v>26</v>
      </c>
      <c r="I142" s="2" t="s">
        <v>27</v>
      </c>
      <c r="J142" s="4">
        <v>1.56</v>
      </c>
      <c r="K142" s="4">
        <v>1.8032786885245902</v>
      </c>
      <c r="L142" s="4">
        <v>1</v>
      </c>
      <c r="M142" s="2" t="s">
        <v>55</v>
      </c>
      <c r="N142" s="2" t="s">
        <v>29</v>
      </c>
      <c r="O142" s="2" t="s">
        <v>160</v>
      </c>
      <c r="P142" s="2" t="s">
        <v>161</v>
      </c>
      <c r="Q142" s="2" t="s">
        <v>56</v>
      </c>
      <c r="R142" s="2" t="s">
        <v>169</v>
      </c>
      <c r="T142" s="2" t="s">
        <v>170</v>
      </c>
      <c r="U142" s="2" t="s">
        <v>209</v>
      </c>
      <c r="W142" s="2" t="s">
        <v>172</v>
      </c>
    </row>
    <row r="143" spans="1:23" ht="20.399999999999999" x14ac:dyDescent="0.3">
      <c r="A143" s="2" t="s">
        <v>158</v>
      </c>
      <c r="B143" s="2" t="s">
        <v>202</v>
      </c>
      <c r="C143" s="2" t="s">
        <v>25</v>
      </c>
      <c r="D143" s="3">
        <f t="shared" si="8"/>
        <v>0.15743176413645066</v>
      </c>
      <c r="E143" s="4">
        <f t="shared" si="9"/>
        <v>1.5580000000000001</v>
      </c>
      <c r="F143" s="4">
        <f t="shared" si="10"/>
        <v>1.8032786885245902</v>
      </c>
      <c r="G143" s="4">
        <f t="shared" si="11"/>
        <v>0.24527868852459012</v>
      </c>
      <c r="H143" s="2" t="s">
        <v>26</v>
      </c>
      <c r="I143" s="2" t="s">
        <v>27</v>
      </c>
      <c r="J143" s="4">
        <v>1.5580000000000001</v>
      </c>
      <c r="K143" s="4">
        <v>1.8032786885245902</v>
      </c>
      <c r="L143" s="4">
        <v>1</v>
      </c>
      <c r="M143" s="2" t="s">
        <v>55</v>
      </c>
      <c r="N143" s="2" t="s">
        <v>29</v>
      </c>
      <c r="O143" s="2" t="s">
        <v>160</v>
      </c>
      <c r="P143" s="2" t="s">
        <v>161</v>
      </c>
      <c r="Q143" s="2" t="s">
        <v>56</v>
      </c>
      <c r="R143" s="2" t="s">
        <v>169</v>
      </c>
      <c r="T143" s="2" t="s">
        <v>170</v>
      </c>
      <c r="U143" s="2" t="s">
        <v>203</v>
      </c>
      <c r="W143" s="2" t="s">
        <v>172</v>
      </c>
    </row>
    <row r="144" spans="1:23" x14ac:dyDescent="0.3">
      <c r="A144" s="2" t="s">
        <v>249</v>
      </c>
      <c r="B144" s="2" t="s">
        <v>740</v>
      </c>
      <c r="C144" s="2" t="s">
        <v>25</v>
      </c>
      <c r="D144" s="3">
        <f t="shared" si="8"/>
        <v>0.16340560549973557</v>
      </c>
      <c r="E144" s="4">
        <f t="shared" si="9"/>
        <v>15.5</v>
      </c>
      <c r="F144" s="4">
        <f t="shared" si="10"/>
        <v>18.032786885245901</v>
      </c>
      <c r="G144" s="4">
        <f t="shared" si="11"/>
        <v>2.5327868852459012</v>
      </c>
      <c r="H144" s="2" t="s">
        <v>26</v>
      </c>
      <c r="I144" s="2" t="s">
        <v>27</v>
      </c>
      <c r="J144" s="4">
        <v>1.55</v>
      </c>
      <c r="K144" s="4">
        <v>1.8032786885245902</v>
      </c>
      <c r="L144" s="4">
        <v>10</v>
      </c>
      <c r="M144" s="2" t="s">
        <v>55</v>
      </c>
      <c r="N144" s="2" t="s">
        <v>29</v>
      </c>
      <c r="O144" s="2" t="s">
        <v>717</v>
      </c>
      <c r="P144" s="2" t="s">
        <v>718</v>
      </c>
      <c r="Q144" s="2" t="s">
        <v>56</v>
      </c>
      <c r="R144" s="2" t="s">
        <v>729</v>
      </c>
      <c r="T144" s="2" t="s">
        <v>730</v>
      </c>
      <c r="U144" s="2" t="s">
        <v>741</v>
      </c>
      <c r="W144" s="2" t="s">
        <v>505</v>
      </c>
    </row>
    <row r="145" spans="1:23" x14ac:dyDescent="0.3">
      <c r="A145" s="2" t="s">
        <v>212</v>
      </c>
      <c r="B145" s="2" t="s">
        <v>235</v>
      </c>
      <c r="C145" s="2" t="s">
        <v>25</v>
      </c>
      <c r="D145" s="3">
        <f t="shared" si="8"/>
        <v>4.3219076005961352E-2</v>
      </c>
      <c r="E145" s="4">
        <f t="shared" si="9"/>
        <v>4.9499999999999993</v>
      </c>
      <c r="F145" s="4">
        <f t="shared" si="10"/>
        <v>5.1639344262295079</v>
      </c>
      <c r="G145" s="4">
        <f t="shared" si="11"/>
        <v>0.21393442622950865</v>
      </c>
      <c r="H145" s="2" t="s">
        <v>26</v>
      </c>
      <c r="I145" s="2" t="s">
        <v>27</v>
      </c>
      <c r="J145" s="4">
        <v>1.65</v>
      </c>
      <c r="K145" s="4">
        <v>1.721311475409836</v>
      </c>
      <c r="L145" s="4">
        <v>3</v>
      </c>
      <c r="M145" s="2" t="s">
        <v>55</v>
      </c>
      <c r="N145" s="2" t="s">
        <v>29</v>
      </c>
      <c r="O145" s="2" t="s">
        <v>160</v>
      </c>
      <c r="P145" s="2" t="s">
        <v>161</v>
      </c>
      <c r="Q145" s="2" t="s">
        <v>56</v>
      </c>
      <c r="R145" s="2" t="s">
        <v>236</v>
      </c>
      <c r="T145" s="2" t="s">
        <v>237</v>
      </c>
      <c r="U145" s="2" t="s">
        <v>238</v>
      </c>
      <c r="W145" s="2" t="s">
        <v>239</v>
      </c>
    </row>
    <row r="146" spans="1:23" x14ac:dyDescent="0.3">
      <c r="A146" s="2" t="s">
        <v>212</v>
      </c>
      <c r="B146" s="2" t="s">
        <v>240</v>
      </c>
      <c r="C146" s="2" t="s">
        <v>25</v>
      </c>
      <c r="D146" s="3">
        <f t="shared" si="8"/>
        <v>4.3219076005961352E-2</v>
      </c>
      <c r="E146" s="4">
        <f t="shared" si="9"/>
        <v>4.9499999999999993</v>
      </c>
      <c r="F146" s="4">
        <f t="shared" si="10"/>
        <v>5.1639344262295079</v>
      </c>
      <c r="G146" s="4">
        <f t="shared" si="11"/>
        <v>0.21393442622950865</v>
      </c>
      <c r="H146" s="2" t="s">
        <v>26</v>
      </c>
      <c r="I146" s="2" t="s">
        <v>27</v>
      </c>
      <c r="J146" s="4">
        <v>1.65</v>
      </c>
      <c r="K146" s="4">
        <v>1.721311475409836</v>
      </c>
      <c r="L146" s="4">
        <v>3</v>
      </c>
      <c r="M146" s="2" t="s">
        <v>55</v>
      </c>
      <c r="N146" s="2" t="s">
        <v>29</v>
      </c>
      <c r="O146" s="2" t="s">
        <v>160</v>
      </c>
      <c r="P146" s="2" t="s">
        <v>161</v>
      </c>
      <c r="Q146" s="2" t="s">
        <v>56</v>
      </c>
      <c r="R146" s="2" t="s">
        <v>236</v>
      </c>
      <c r="T146" s="2" t="s">
        <v>237</v>
      </c>
      <c r="U146" s="2" t="s">
        <v>241</v>
      </c>
      <c r="W146" s="2" t="s">
        <v>239</v>
      </c>
    </row>
    <row r="147" spans="1:23" x14ac:dyDescent="0.3">
      <c r="A147" s="2" t="s">
        <v>212</v>
      </c>
      <c r="B147" s="2" t="s">
        <v>235</v>
      </c>
      <c r="C147" s="2" t="s">
        <v>25</v>
      </c>
      <c r="D147" s="3">
        <f t="shared" si="8"/>
        <v>4.3219076005961254E-2</v>
      </c>
      <c r="E147" s="4">
        <f t="shared" si="9"/>
        <v>13.2</v>
      </c>
      <c r="F147" s="4">
        <f t="shared" si="10"/>
        <v>13.770491803278688</v>
      </c>
      <c r="G147" s="4">
        <f t="shared" si="11"/>
        <v>0.57049180327868854</v>
      </c>
      <c r="H147" s="2" t="s">
        <v>26</v>
      </c>
      <c r="I147" s="2" t="s">
        <v>27</v>
      </c>
      <c r="J147" s="4">
        <v>1.65</v>
      </c>
      <c r="K147" s="4">
        <v>1.721311475409836</v>
      </c>
      <c r="L147" s="4">
        <v>8</v>
      </c>
      <c r="M147" s="2" t="s">
        <v>55</v>
      </c>
      <c r="N147" s="2" t="s">
        <v>29</v>
      </c>
      <c r="O147" s="2" t="s">
        <v>717</v>
      </c>
      <c r="P147" s="2" t="s">
        <v>718</v>
      </c>
      <c r="Q147" s="2" t="s">
        <v>56</v>
      </c>
      <c r="R147" s="2" t="s">
        <v>729</v>
      </c>
      <c r="T147" s="2" t="s">
        <v>730</v>
      </c>
      <c r="U147" s="2" t="s">
        <v>238</v>
      </c>
      <c r="W147" s="2" t="s">
        <v>505</v>
      </c>
    </row>
    <row r="148" spans="1:23" x14ac:dyDescent="0.3">
      <c r="A148" s="2" t="s">
        <v>212</v>
      </c>
      <c r="B148" s="2" t="s">
        <v>240</v>
      </c>
      <c r="C148" s="2" t="s">
        <v>25</v>
      </c>
      <c r="D148" s="3">
        <f t="shared" si="8"/>
        <v>4.3219076005961254E-2</v>
      </c>
      <c r="E148" s="4">
        <f t="shared" si="9"/>
        <v>13.2</v>
      </c>
      <c r="F148" s="4">
        <f t="shared" si="10"/>
        <v>13.770491803278688</v>
      </c>
      <c r="G148" s="4">
        <f t="shared" si="11"/>
        <v>0.57049180327868854</v>
      </c>
      <c r="H148" s="2" t="s">
        <v>26</v>
      </c>
      <c r="I148" s="2" t="s">
        <v>27</v>
      </c>
      <c r="J148" s="4">
        <v>1.65</v>
      </c>
      <c r="K148" s="4">
        <v>1.721311475409836</v>
      </c>
      <c r="L148" s="4">
        <v>8</v>
      </c>
      <c r="M148" s="2" t="s">
        <v>55</v>
      </c>
      <c r="N148" s="2" t="s">
        <v>29</v>
      </c>
      <c r="O148" s="2" t="s">
        <v>717</v>
      </c>
      <c r="P148" s="2" t="s">
        <v>718</v>
      </c>
      <c r="Q148" s="2" t="s">
        <v>56</v>
      </c>
      <c r="R148" s="2" t="s">
        <v>729</v>
      </c>
      <c r="T148" s="2" t="s">
        <v>730</v>
      </c>
      <c r="U148" s="2" t="s">
        <v>241</v>
      </c>
      <c r="W148" s="2" t="s">
        <v>505</v>
      </c>
    </row>
    <row r="149" spans="1:23" x14ac:dyDescent="0.3">
      <c r="A149" s="2" t="s">
        <v>158</v>
      </c>
      <c r="B149" s="2" t="s">
        <v>159</v>
      </c>
      <c r="C149" s="2" t="s">
        <v>25</v>
      </c>
      <c r="D149" s="3">
        <f t="shared" si="8"/>
        <v>0.15369401837120375</v>
      </c>
      <c r="E149" s="4">
        <f t="shared" si="9"/>
        <v>2.984</v>
      </c>
      <c r="F149" s="4">
        <f t="shared" si="10"/>
        <v>3.442622950819672</v>
      </c>
      <c r="G149" s="4">
        <f t="shared" si="11"/>
        <v>0.45862295081967197</v>
      </c>
      <c r="H149" s="2" t="s">
        <v>26</v>
      </c>
      <c r="I149" s="2" t="s">
        <v>27</v>
      </c>
      <c r="J149" s="4">
        <v>1.492</v>
      </c>
      <c r="K149" s="4">
        <v>1.721311475409836</v>
      </c>
      <c r="L149" s="4">
        <v>2</v>
      </c>
      <c r="M149" s="2" t="s">
        <v>55</v>
      </c>
      <c r="N149" s="2" t="s">
        <v>29</v>
      </c>
      <c r="O149" s="2" t="s">
        <v>160</v>
      </c>
      <c r="P149" s="2" t="s">
        <v>161</v>
      </c>
      <c r="Q149" s="2" t="s">
        <v>56</v>
      </c>
      <c r="R149" s="2" t="s">
        <v>162</v>
      </c>
      <c r="T149" s="2" t="s">
        <v>163</v>
      </c>
      <c r="U149" s="2" t="s">
        <v>164</v>
      </c>
      <c r="W149" s="2" t="s">
        <v>165</v>
      </c>
    </row>
    <row r="150" spans="1:23" x14ac:dyDescent="0.3">
      <c r="A150" s="2" t="s">
        <v>158</v>
      </c>
      <c r="B150" s="2" t="s">
        <v>166</v>
      </c>
      <c r="C150" s="2" t="s">
        <v>25</v>
      </c>
      <c r="D150" s="3">
        <f t="shared" si="8"/>
        <v>0.15369401837120375</v>
      </c>
      <c r="E150" s="4">
        <f t="shared" si="9"/>
        <v>2.984</v>
      </c>
      <c r="F150" s="4">
        <f t="shared" si="10"/>
        <v>3.442622950819672</v>
      </c>
      <c r="G150" s="4">
        <f t="shared" si="11"/>
        <v>0.45862295081967197</v>
      </c>
      <c r="H150" s="2" t="s">
        <v>26</v>
      </c>
      <c r="I150" s="2" t="s">
        <v>27</v>
      </c>
      <c r="J150" s="4">
        <v>1.492</v>
      </c>
      <c r="K150" s="4">
        <v>1.721311475409836</v>
      </c>
      <c r="L150" s="4">
        <v>2</v>
      </c>
      <c r="M150" s="2" t="s">
        <v>55</v>
      </c>
      <c r="N150" s="2" t="s">
        <v>29</v>
      </c>
      <c r="O150" s="2" t="s">
        <v>160</v>
      </c>
      <c r="P150" s="2" t="s">
        <v>161</v>
      </c>
      <c r="Q150" s="2" t="s">
        <v>56</v>
      </c>
      <c r="R150" s="2" t="s">
        <v>162</v>
      </c>
      <c r="T150" s="2" t="s">
        <v>163</v>
      </c>
      <c r="U150" s="2" t="s">
        <v>167</v>
      </c>
      <c r="W150" s="2" t="s">
        <v>165</v>
      </c>
    </row>
    <row r="151" spans="1:23" ht="20.399999999999999" x14ac:dyDescent="0.3">
      <c r="A151" s="2" t="s">
        <v>439</v>
      </c>
      <c r="B151" s="2" t="s">
        <v>528</v>
      </c>
      <c r="C151" s="2" t="s">
        <v>25</v>
      </c>
      <c r="D151" s="3">
        <f t="shared" si="8"/>
        <v>0.15524260094619866</v>
      </c>
      <c r="E151" s="4">
        <f t="shared" si="9"/>
        <v>5.96</v>
      </c>
      <c r="F151" s="4">
        <f t="shared" si="10"/>
        <v>6.8852459016393439</v>
      </c>
      <c r="G151" s="4">
        <f t="shared" si="11"/>
        <v>0.92524590163934395</v>
      </c>
      <c r="H151" s="2" t="s">
        <v>26</v>
      </c>
      <c r="I151" s="2" t="s">
        <v>27</v>
      </c>
      <c r="J151" s="4">
        <v>1.49</v>
      </c>
      <c r="K151" s="4">
        <v>1.721311475409836</v>
      </c>
      <c r="L151" s="4">
        <v>4</v>
      </c>
      <c r="M151" s="2" t="s">
        <v>55</v>
      </c>
      <c r="N151" s="2" t="s">
        <v>29</v>
      </c>
      <c r="O151" s="2" t="s">
        <v>500</v>
      </c>
      <c r="P151" s="2" t="s">
        <v>56</v>
      </c>
      <c r="Q151" s="2" t="s">
        <v>56</v>
      </c>
      <c r="R151" s="2" t="s">
        <v>502</v>
      </c>
      <c r="T151" s="2" t="s">
        <v>503</v>
      </c>
      <c r="U151" s="2" t="s">
        <v>529</v>
      </c>
      <c r="W151" s="2" t="s">
        <v>505</v>
      </c>
    </row>
    <row r="152" spans="1:23" x14ac:dyDescent="0.3">
      <c r="A152" s="2" t="s">
        <v>325</v>
      </c>
      <c r="B152" s="2" t="s">
        <v>326</v>
      </c>
      <c r="C152" s="2" t="s">
        <v>25</v>
      </c>
      <c r="D152" s="3">
        <f t="shared" si="8"/>
        <v>0.19204395804005267</v>
      </c>
      <c r="E152" s="4">
        <f t="shared" si="9"/>
        <v>17.327999999999999</v>
      </c>
      <c r="F152" s="4">
        <f t="shared" si="10"/>
        <v>20.655737704918032</v>
      </c>
      <c r="G152" s="4">
        <f t="shared" si="11"/>
        <v>3.3277377049180323</v>
      </c>
      <c r="H152" s="2" t="s">
        <v>26</v>
      </c>
      <c r="I152" s="2" t="s">
        <v>27</v>
      </c>
      <c r="J152" s="4">
        <v>1.444</v>
      </c>
      <c r="K152" s="4">
        <v>1.721311475409836</v>
      </c>
      <c r="L152" s="4">
        <v>12</v>
      </c>
      <c r="M152" s="2" t="s">
        <v>55</v>
      </c>
      <c r="N152" s="2" t="s">
        <v>311</v>
      </c>
      <c r="O152" s="2" t="s">
        <v>312</v>
      </c>
      <c r="P152" s="2" t="s">
        <v>313</v>
      </c>
      <c r="Q152" s="2" t="s">
        <v>56</v>
      </c>
      <c r="R152" s="2" t="s">
        <v>314</v>
      </c>
      <c r="T152" s="2" t="s">
        <v>315</v>
      </c>
      <c r="U152" s="2" t="s">
        <v>327</v>
      </c>
      <c r="W152" s="2" t="s">
        <v>317</v>
      </c>
    </row>
    <row r="153" spans="1:23" x14ac:dyDescent="0.3">
      <c r="A153" s="2" t="s">
        <v>130</v>
      </c>
      <c r="B153" s="2" t="s">
        <v>133</v>
      </c>
      <c r="C153" s="2" t="s">
        <v>25</v>
      </c>
      <c r="D153" s="3">
        <f t="shared" si="8"/>
        <v>0.28571428571428586</v>
      </c>
      <c r="E153" s="4">
        <f t="shared" si="9"/>
        <v>1.1475409836065573</v>
      </c>
      <c r="F153" s="4">
        <f t="shared" si="10"/>
        <v>1.4754098360655739</v>
      </c>
      <c r="G153" s="4">
        <f t="shared" si="11"/>
        <v>0.32786885245901654</v>
      </c>
      <c r="H153" s="2" t="s">
        <v>26</v>
      </c>
      <c r="I153" s="2" t="s">
        <v>27</v>
      </c>
      <c r="J153" s="4">
        <v>1.1475409836065573</v>
      </c>
      <c r="K153" s="4">
        <v>1.4754098360655739</v>
      </c>
      <c r="L153" s="4">
        <v>1</v>
      </c>
      <c r="M153" s="2" t="s">
        <v>134</v>
      </c>
      <c r="N153" s="2" t="s">
        <v>29</v>
      </c>
      <c r="O153" s="2" t="s">
        <v>30</v>
      </c>
      <c r="P153" s="2" t="s">
        <v>31</v>
      </c>
      <c r="Q153" s="2" t="s">
        <v>135</v>
      </c>
      <c r="R153" s="2" t="s">
        <v>41</v>
      </c>
      <c r="T153" s="2" t="s">
        <v>42</v>
      </c>
      <c r="U153" s="2" t="s">
        <v>136</v>
      </c>
      <c r="W153" s="2" t="s">
        <v>44</v>
      </c>
    </row>
    <row r="154" spans="1:23" x14ac:dyDescent="0.3">
      <c r="A154" s="2" t="s">
        <v>130</v>
      </c>
      <c r="B154" s="2" t="s">
        <v>133</v>
      </c>
      <c r="C154" s="2" t="s">
        <v>25</v>
      </c>
      <c r="D154" s="3">
        <f t="shared" si="8"/>
        <v>0.28571428571428586</v>
      </c>
      <c r="E154" s="4">
        <f t="shared" si="9"/>
        <v>2.2950819672131146</v>
      </c>
      <c r="F154" s="4">
        <f t="shared" si="10"/>
        <v>2.9508196721311477</v>
      </c>
      <c r="G154" s="4">
        <f t="shared" si="11"/>
        <v>0.65573770491803307</v>
      </c>
      <c r="H154" s="2" t="s">
        <v>26</v>
      </c>
      <c r="I154" s="2" t="s">
        <v>27</v>
      </c>
      <c r="J154" s="4">
        <v>1.1475409836065573</v>
      </c>
      <c r="K154" s="4">
        <v>1.4754098360655739</v>
      </c>
      <c r="L154" s="4">
        <v>2</v>
      </c>
      <c r="M154" s="2" t="s">
        <v>134</v>
      </c>
      <c r="N154" s="2" t="s">
        <v>29</v>
      </c>
      <c r="O154" s="2" t="s">
        <v>30</v>
      </c>
      <c r="P154" s="2" t="s">
        <v>31</v>
      </c>
      <c r="Q154" s="2" t="s">
        <v>135</v>
      </c>
      <c r="R154" s="2" t="s">
        <v>33</v>
      </c>
      <c r="T154" s="2" t="s">
        <v>34</v>
      </c>
      <c r="U154" s="2" t="s">
        <v>136</v>
      </c>
      <c r="W154" s="2" t="s">
        <v>36</v>
      </c>
    </row>
    <row r="155" spans="1:23" x14ac:dyDescent="0.3">
      <c r="A155" s="2" t="s">
        <v>23</v>
      </c>
      <c r="B155" s="2" t="s">
        <v>97</v>
      </c>
      <c r="C155" s="2" t="s">
        <v>25</v>
      </c>
      <c r="D155" s="3">
        <f t="shared" si="8"/>
        <v>0.13493064312736447</v>
      </c>
      <c r="E155" s="4">
        <f t="shared" si="9"/>
        <v>5.2</v>
      </c>
      <c r="F155" s="4">
        <f t="shared" si="10"/>
        <v>5.9016393442622954</v>
      </c>
      <c r="G155" s="4">
        <f t="shared" si="11"/>
        <v>0.70163934426229524</v>
      </c>
      <c r="H155" s="2" t="s">
        <v>26</v>
      </c>
      <c r="I155" s="2" t="s">
        <v>27</v>
      </c>
      <c r="J155" s="4">
        <v>1.3</v>
      </c>
      <c r="K155" s="4">
        <v>1.4754098360655739</v>
      </c>
      <c r="L155" s="4">
        <v>4</v>
      </c>
      <c r="M155" s="2" t="s">
        <v>98</v>
      </c>
      <c r="N155" s="2" t="s">
        <v>29</v>
      </c>
      <c r="O155" s="2" t="s">
        <v>30</v>
      </c>
      <c r="P155" s="2" t="s">
        <v>31</v>
      </c>
      <c r="Q155" s="2" t="s">
        <v>99</v>
      </c>
      <c r="R155" s="2" t="s">
        <v>33</v>
      </c>
      <c r="T155" s="2" t="s">
        <v>34</v>
      </c>
      <c r="U155" s="2" t="s">
        <v>100</v>
      </c>
      <c r="W155" s="2" t="s">
        <v>36</v>
      </c>
    </row>
    <row r="156" spans="1:23" x14ac:dyDescent="0.3">
      <c r="A156" s="2" t="s">
        <v>23</v>
      </c>
      <c r="B156" s="2" t="s">
        <v>106</v>
      </c>
      <c r="C156" s="2" t="s">
        <v>25</v>
      </c>
      <c r="D156" s="3">
        <f t="shared" si="8"/>
        <v>0.13493064312736452</v>
      </c>
      <c r="E156" s="4">
        <f t="shared" si="9"/>
        <v>6.5</v>
      </c>
      <c r="F156" s="4">
        <f t="shared" si="10"/>
        <v>7.3770491803278695</v>
      </c>
      <c r="G156" s="4">
        <f t="shared" si="11"/>
        <v>0.87704918032786949</v>
      </c>
      <c r="H156" s="2" t="s">
        <v>26</v>
      </c>
      <c r="I156" s="2" t="s">
        <v>27</v>
      </c>
      <c r="J156" s="4">
        <v>1.3</v>
      </c>
      <c r="K156" s="4">
        <v>1.4754098360655739</v>
      </c>
      <c r="L156" s="4">
        <v>5</v>
      </c>
      <c r="M156" s="2" t="s">
        <v>55</v>
      </c>
      <c r="N156" s="2" t="s">
        <v>29</v>
      </c>
      <c r="O156" s="2" t="s">
        <v>30</v>
      </c>
      <c r="P156" s="2" t="s">
        <v>31</v>
      </c>
      <c r="Q156" s="2" t="s">
        <v>56</v>
      </c>
      <c r="R156" s="2" t="s">
        <v>102</v>
      </c>
      <c r="T156" s="2" t="s">
        <v>103</v>
      </c>
      <c r="U156" s="2" t="s">
        <v>107</v>
      </c>
      <c r="W156" s="2" t="s">
        <v>105</v>
      </c>
    </row>
    <row r="157" spans="1:23" x14ac:dyDescent="0.3">
      <c r="A157" s="2" t="s">
        <v>23</v>
      </c>
      <c r="B157" s="2" t="s">
        <v>101</v>
      </c>
      <c r="C157" s="2" t="s">
        <v>25</v>
      </c>
      <c r="D157" s="3">
        <f t="shared" si="8"/>
        <v>0.18032786885245911</v>
      </c>
      <c r="E157" s="4">
        <f t="shared" si="9"/>
        <v>6.25</v>
      </c>
      <c r="F157" s="4">
        <f t="shared" si="10"/>
        <v>7.3770491803278695</v>
      </c>
      <c r="G157" s="4">
        <f t="shared" si="11"/>
        <v>1.1270491803278695</v>
      </c>
      <c r="H157" s="2" t="s">
        <v>26</v>
      </c>
      <c r="I157" s="2" t="s">
        <v>27</v>
      </c>
      <c r="J157" s="4">
        <v>1.25</v>
      </c>
      <c r="K157" s="4">
        <v>1.4754098360655739</v>
      </c>
      <c r="L157" s="4">
        <v>5</v>
      </c>
      <c r="M157" s="2" t="s">
        <v>55</v>
      </c>
      <c r="N157" s="2" t="s">
        <v>29</v>
      </c>
      <c r="O157" s="2" t="s">
        <v>30</v>
      </c>
      <c r="P157" s="2" t="s">
        <v>31</v>
      </c>
      <c r="Q157" s="2" t="s">
        <v>56</v>
      </c>
      <c r="R157" s="2" t="s">
        <v>102</v>
      </c>
      <c r="T157" s="2" t="s">
        <v>103</v>
      </c>
      <c r="U157" s="2" t="s">
        <v>104</v>
      </c>
      <c r="W157" s="2" t="s">
        <v>105</v>
      </c>
    </row>
    <row r="158" spans="1:23" x14ac:dyDescent="0.3">
      <c r="A158" s="2" t="s">
        <v>130</v>
      </c>
      <c r="B158" s="2" t="s">
        <v>625</v>
      </c>
      <c r="C158" s="2" t="s">
        <v>25</v>
      </c>
      <c r="D158" s="3">
        <f t="shared" si="8"/>
        <v>0.14473684210526314</v>
      </c>
      <c r="E158" s="4">
        <f t="shared" si="9"/>
        <v>14.950819672131148</v>
      </c>
      <c r="F158" s="4">
        <f t="shared" si="10"/>
        <v>17.114754098360656</v>
      </c>
      <c r="G158" s="4">
        <f t="shared" si="11"/>
        <v>2.1639344262295079</v>
      </c>
      <c r="H158" s="2" t="s">
        <v>26</v>
      </c>
      <c r="I158" s="2" t="s">
        <v>27</v>
      </c>
      <c r="J158" s="4">
        <v>1.2459016393442623</v>
      </c>
      <c r="K158" s="4">
        <v>1.4262295081967213</v>
      </c>
      <c r="L158" s="4">
        <v>12</v>
      </c>
      <c r="M158" s="2" t="s">
        <v>142</v>
      </c>
      <c r="N158" s="2" t="s">
        <v>29</v>
      </c>
      <c r="O158" s="2" t="s">
        <v>554</v>
      </c>
      <c r="P158" s="2" t="s">
        <v>63</v>
      </c>
      <c r="Q158" s="2" t="s">
        <v>143</v>
      </c>
      <c r="R158" s="2" t="s">
        <v>626</v>
      </c>
      <c r="T158" s="2" t="s">
        <v>556</v>
      </c>
      <c r="U158" s="2" t="s">
        <v>627</v>
      </c>
      <c r="W158" s="2" t="s">
        <v>557</v>
      </c>
    </row>
    <row r="159" spans="1:23" ht="20.399999999999999" x14ac:dyDescent="0.3">
      <c r="A159" s="2" t="s">
        <v>336</v>
      </c>
      <c r="B159" s="2" t="s">
        <v>495</v>
      </c>
      <c r="C159" s="2" t="s">
        <v>25</v>
      </c>
      <c r="D159" s="3">
        <f t="shared" si="8"/>
        <v>6.6231640473114695E-2</v>
      </c>
      <c r="E159" s="4">
        <f t="shared" si="9"/>
        <v>39.21</v>
      </c>
      <c r="F159" s="4">
        <f t="shared" si="10"/>
        <v>41.806942622950828</v>
      </c>
      <c r="G159" s="4">
        <f t="shared" si="11"/>
        <v>2.5969426229508272</v>
      </c>
      <c r="H159" s="2" t="s">
        <v>26</v>
      </c>
      <c r="I159" s="2" t="s">
        <v>27</v>
      </c>
      <c r="J159" s="4">
        <v>1.3069999999999999</v>
      </c>
      <c r="K159" s="4">
        <v>1.3935647540983609</v>
      </c>
      <c r="L159" s="4">
        <v>30</v>
      </c>
      <c r="M159" s="2" t="s">
        <v>55</v>
      </c>
      <c r="N159" s="2" t="s">
        <v>29</v>
      </c>
      <c r="O159" s="2" t="s">
        <v>488</v>
      </c>
      <c r="P159" s="2" t="s">
        <v>135</v>
      </c>
      <c r="Q159" s="2" t="s">
        <v>56</v>
      </c>
      <c r="R159" s="2" t="s">
        <v>489</v>
      </c>
      <c r="T159" s="2" t="s">
        <v>490</v>
      </c>
      <c r="U159" s="2" t="s">
        <v>496</v>
      </c>
      <c r="W159" s="2" t="s">
        <v>492</v>
      </c>
    </row>
    <row r="160" spans="1:23" x14ac:dyDescent="0.3">
      <c r="A160" s="2" t="s">
        <v>130</v>
      </c>
      <c r="B160" s="2" t="s">
        <v>131</v>
      </c>
      <c r="C160" s="2" t="s">
        <v>25</v>
      </c>
      <c r="D160" s="3">
        <f t="shared" si="8"/>
        <v>0.26561546135405967</v>
      </c>
      <c r="E160" s="4">
        <f t="shared" si="9"/>
        <v>1.101</v>
      </c>
      <c r="F160" s="4">
        <f t="shared" si="10"/>
        <v>1.3934426229508197</v>
      </c>
      <c r="G160" s="4">
        <f t="shared" si="11"/>
        <v>0.29244262295081969</v>
      </c>
      <c r="H160" s="2" t="s">
        <v>26</v>
      </c>
      <c r="I160" s="2" t="s">
        <v>27</v>
      </c>
      <c r="J160" s="4">
        <v>1.101</v>
      </c>
      <c r="K160" s="4">
        <v>1.3934426229508197</v>
      </c>
      <c r="L160" s="4">
        <v>1</v>
      </c>
      <c r="M160" s="2" t="s">
        <v>55</v>
      </c>
      <c r="N160" s="2" t="s">
        <v>29</v>
      </c>
      <c r="O160" s="2" t="s">
        <v>30</v>
      </c>
      <c r="P160" s="2" t="s">
        <v>31</v>
      </c>
      <c r="Q160" s="2" t="s">
        <v>56</v>
      </c>
      <c r="R160" s="2" t="s">
        <v>41</v>
      </c>
      <c r="T160" s="2" t="s">
        <v>42</v>
      </c>
      <c r="U160" s="2" t="s">
        <v>132</v>
      </c>
      <c r="W160" s="2" t="s">
        <v>44</v>
      </c>
    </row>
    <row r="161" spans="1:23" x14ac:dyDescent="0.3">
      <c r="A161" s="2" t="s">
        <v>357</v>
      </c>
      <c r="B161" s="2" t="s">
        <v>680</v>
      </c>
      <c r="C161" s="2" t="s">
        <v>25</v>
      </c>
      <c r="D161" s="3">
        <f t="shared" si="8"/>
        <v>0.39344262295081972</v>
      </c>
      <c r="E161" s="4">
        <f t="shared" si="9"/>
        <v>33</v>
      </c>
      <c r="F161" s="4">
        <f t="shared" si="10"/>
        <v>45.983606557377051</v>
      </c>
      <c r="G161" s="4">
        <f t="shared" si="11"/>
        <v>12.983606557377051</v>
      </c>
      <c r="H161" s="2" t="s">
        <v>26</v>
      </c>
      <c r="I161" s="2" t="s">
        <v>27</v>
      </c>
      <c r="J161" s="4">
        <v>1</v>
      </c>
      <c r="K161" s="4">
        <v>1.3934426229508197</v>
      </c>
      <c r="L161" s="4">
        <v>33</v>
      </c>
      <c r="M161" s="2" t="s">
        <v>39</v>
      </c>
      <c r="N161" s="2" t="s">
        <v>29</v>
      </c>
      <c r="O161" s="2" t="s">
        <v>675</v>
      </c>
      <c r="P161" s="2" t="s">
        <v>676</v>
      </c>
      <c r="Q161" s="2" t="s">
        <v>40</v>
      </c>
      <c r="R161" s="2" t="s">
        <v>681</v>
      </c>
      <c r="T161" s="2" t="s">
        <v>682</v>
      </c>
      <c r="U161" s="2" t="s">
        <v>683</v>
      </c>
      <c r="W161" s="2" t="s">
        <v>684</v>
      </c>
    </row>
    <row r="162" spans="1:23" ht="20.399999999999999" x14ac:dyDescent="0.3">
      <c r="A162" s="2" t="s">
        <v>336</v>
      </c>
      <c r="B162" s="2" t="s">
        <v>337</v>
      </c>
      <c r="C162" s="2" t="s">
        <v>25</v>
      </c>
      <c r="D162" s="3">
        <f t="shared" si="8"/>
        <v>2.9738858225554034E-2</v>
      </c>
      <c r="E162" s="4">
        <f t="shared" si="9"/>
        <v>5.97</v>
      </c>
      <c r="F162" s="4">
        <f t="shared" si="10"/>
        <v>6.1475409836065573</v>
      </c>
      <c r="G162" s="4">
        <f t="shared" si="11"/>
        <v>0.17754098360655757</v>
      </c>
      <c r="H162" s="2" t="s">
        <v>26</v>
      </c>
      <c r="I162" s="2" t="s">
        <v>27</v>
      </c>
      <c r="J162" s="4">
        <v>1.194</v>
      </c>
      <c r="K162" s="4">
        <v>1.2295081967213115</v>
      </c>
      <c r="L162" s="4">
        <v>5</v>
      </c>
      <c r="M162" s="2" t="s">
        <v>55</v>
      </c>
      <c r="N162" s="2" t="s">
        <v>338</v>
      </c>
      <c r="O162" s="2" t="s">
        <v>312</v>
      </c>
      <c r="P162" s="2" t="s">
        <v>313</v>
      </c>
      <c r="Q162" s="2" t="s">
        <v>56</v>
      </c>
      <c r="R162" s="2" t="s">
        <v>339</v>
      </c>
      <c r="T162" s="2" t="s">
        <v>340</v>
      </c>
      <c r="U162" s="2" t="s">
        <v>341</v>
      </c>
      <c r="W162" s="2" t="s">
        <v>342</v>
      </c>
    </row>
    <row r="163" spans="1:23" ht="20.399999999999999" x14ac:dyDescent="0.3">
      <c r="A163" s="2" t="s">
        <v>497</v>
      </c>
      <c r="B163" s="2" t="s">
        <v>511</v>
      </c>
      <c r="C163" s="2" t="s">
        <v>25</v>
      </c>
      <c r="D163" s="3">
        <f t="shared" si="8"/>
        <v>0.23197214100331831</v>
      </c>
      <c r="E163" s="4">
        <f t="shared" si="9"/>
        <v>11.975999999999999</v>
      </c>
      <c r="F163" s="4">
        <f t="shared" si="10"/>
        <v>14.754098360655739</v>
      </c>
      <c r="G163" s="4">
        <f t="shared" si="11"/>
        <v>2.7780983606557399</v>
      </c>
      <c r="H163" s="2" t="s">
        <v>26</v>
      </c>
      <c r="I163" s="2" t="s">
        <v>27</v>
      </c>
      <c r="J163" s="4">
        <v>0.998</v>
      </c>
      <c r="K163" s="4">
        <v>1.2295081967213115</v>
      </c>
      <c r="L163" s="4">
        <v>12</v>
      </c>
      <c r="M163" s="2" t="s">
        <v>55</v>
      </c>
      <c r="N163" s="2" t="s">
        <v>29</v>
      </c>
      <c r="O163" s="2" t="s">
        <v>500</v>
      </c>
      <c r="P163" s="2" t="s">
        <v>56</v>
      </c>
      <c r="Q163" s="2" t="s">
        <v>56</v>
      </c>
      <c r="R163" s="2" t="s">
        <v>502</v>
      </c>
      <c r="T163" s="2" t="s">
        <v>503</v>
      </c>
      <c r="U163" s="2" t="s">
        <v>512</v>
      </c>
      <c r="W163" s="2" t="s">
        <v>505</v>
      </c>
    </row>
    <row r="164" spans="1:23" ht="20.399999999999999" x14ac:dyDescent="0.3">
      <c r="A164" s="2" t="s">
        <v>497</v>
      </c>
      <c r="B164" s="2" t="s">
        <v>513</v>
      </c>
      <c r="C164" s="2" t="s">
        <v>25</v>
      </c>
      <c r="D164" s="3">
        <f t="shared" si="8"/>
        <v>0.12669708748802883</v>
      </c>
      <c r="E164" s="4">
        <f t="shared" si="9"/>
        <v>6.1109999999999998</v>
      </c>
      <c r="F164" s="4">
        <f t="shared" si="10"/>
        <v>6.8852459016393439</v>
      </c>
      <c r="G164" s="4">
        <f t="shared" si="11"/>
        <v>0.77424590163934415</v>
      </c>
      <c r="H164" s="2" t="s">
        <v>26</v>
      </c>
      <c r="I164" s="2" t="s">
        <v>27</v>
      </c>
      <c r="J164" s="4">
        <v>1.0185</v>
      </c>
      <c r="K164" s="4">
        <v>1.1475409836065573</v>
      </c>
      <c r="L164" s="4">
        <v>6</v>
      </c>
      <c r="M164" s="2" t="s">
        <v>401</v>
      </c>
      <c r="N164" s="2" t="s">
        <v>29</v>
      </c>
      <c r="O164" s="2" t="s">
        <v>500</v>
      </c>
      <c r="P164" s="2" t="s">
        <v>56</v>
      </c>
      <c r="Q164" s="2" t="s">
        <v>402</v>
      </c>
      <c r="R164" s="2" t="s">
        <v>508</v>
      </c>
      <c r="T164" s="2" t="s">
        <v>509</v>
      </c>
      <c r="U164" s="2" t="s">
        <v>514</v>
      </c>
      <c r="W164" s="2" t="s">
        <v>510</v>
      </c>
    </row>
    <row r="165" spans="1:23" ht="20.399999999999999" x14ac:dyDescent="0.3">
      <c r="A165" s="2" t="s">
        <v>497</v>
      </c>
      <c r="B165" s="2" t="s">
        <v>513</v>
      </c>
      <c r="C165" s="2" t="s">
        <v>25</v>
      </c>
      <c r="D165" s="3">
        <f t="shared" si="8"/>
        <v>0.12669708748802894</v>
      </c>
      <c r="E165" s="4">
        <f t="shared" si="9"/>
        <v>5.0924999999999994</v>
      </c>
      <c r="F165" s="4">
        <f t="shared" si="10"/>
        <v>5.7377049180327866</v>
      </c>
      <c r="G165" s="4">
        <f t="shared" si="11"/>
        <v>0.64520491803278723</v>
      </c>
      <c r="H165" s="2" t="s">
        <v>26</v>
      </c>
      <c r="I165" s="2" t="s">
        <v>27</v>
      </c>
      <c r="J165" s="4">
        <v>1.0185</v>
      </c>
      <c r="K165" s="4">
        <v>1.1475409836065573</v>
      </c>
      <c r="L165" s="4">
        <v>5</v>
      </c>
      <c r="M165" s="2" t="s">
        <v>401</v>
      </c>
      <c r="N165" s="2" t="s">
        <v>29</v>
      </c>
      <c r="O165" s="2" t="s">
        <v>500</v>
      </c>
      <c r="P165" s="2" t="s">
        <v>56</v>
      </c>
      <c r="Q165" s="2" t="s">
        <v>402</v>
      </c>
      <c r="R165" s="2" t="s">
        <v>515</v>
      </c>
      <c r="T165" s="2" t="s">
        <v>516</v>
      </c>
      <c r="U165" s="2" t="s">
        <v>514</v>
      </c>
      <c r="W165" s="2" t="s">
        <v>517</v>
      </c>
    </row>
    <row r="166" spans="1:23" ht="20.399999999999999" x14ac:dyDescent="0.3">
      <c r="A166" s="2" t="s">
        <v>497</v>
      </c>
      <c r="B166" s="2" t="s">
        <v>518</v>
      </c>
      <c r="C166" s="2" t="s">
        <v>25</v>
      </c>
      <c r="D166" s="3">
        <f t="shared" si="8"/>
        <v>0.14984066493643028</v>
      </c>
      <c r="E166" s="4">
        <f t="shared" si="9"/>
        <v>11.975999999999999</v>
      </c>
      <c r="F166" s="4">
        <f t="shared" si="10"/>
        <v>13.770491803278688</v>
      </c>
      <c r="G166" s="4">
        <f t="shared" si="11"/>
        <v>1.7944918032786887</v>
      </c>
      <c r="H166" s="2" t="s">
        <v>26</v>
      </c>
      <c r="I166" s="2" t="s">
        <v>27</v>
      </c>
      <c r="J166" s="4">
        <v>0.998</v>
      </c>
      <c r="K166" s="4">
        <v>1.1475409836065573</v>
      </c>
      <c r="L166" s="4">
        <v>12</v>
      </c>
      <c r="M166" s="2" t="s">
        <v>519</v>
      </c>
      <c r="N166" s="2" t="s">
        <v>29</v>
      </c>
      <c r="O166" s="2" t="s">
        <v>500</v>
      </c>
      <c r="P166" s="2" t="s">
        <v>56</v>
      </c>
      <c r="Q166" s="2" t="s">
        <v>520</v>
      </c>
      <c r="R166" s="2" t="s">
        <v>502</v>
      </c>
      <c r="T166" s="2" t="s">
        <v>503</v>
      </c>
      <c r="U166" s="2" t="s">
        <v>521</v>
      </c>
      <c r="W166" s="2" t="s">
        <v>505</v>
      </c>
    </row>
    <row r="167" spans="1:23" ht="20.399999999999999" x14ac:dyDescent="0.3">
      <c r="A167" s="2" t="s">
        <v>497</v>
      </c>
      <c r="B167" s="2" t="s">
        <v>518</v>
      </c>
      <c r="C167" s="2" t="s">
        <v>25</v>
      </c>
      <c r="D167" s="3">
        <f t="shared" si="8"/>
        <v>0.14984066493643028</v>
      </c>
      <c r="E167" s="4">
        <f t="shared" si="9"/>
        <v>5.9879999999999995</v>
      </c>
      <c r="F167" s="4">
        <f t="shared" si="10"/>
        <v>6.8852459016393439</v>
      </c>
      <c r="G167" s="4">
        <f t="shared" si="11"/>
        <v>0.89724590163934437</v>
      </c>
      <c r="H167" s="2" t="s">
        <v>26</v>
      </c>
      <c r="I167" s="2" t="s">
        <v>27</v>
      </c>
      <c r="J167" s="4">
        <v>0.998</v>
      </c>
      <c r="K167" s="4">
        <v>1.1475409836065573</v>
      </c>
      <c r="L167" s="4">
        <v>6</v>
      </c>
      <c r="M167" s="2" t="s">
        <v>519</v>
      </c>
      <c r="N167" s="2" t="s">
        <v>29</v>
      </c>
      <c r="O167" s="2" t="s">
        <v>500</v>
      </c>
      <c r="P167" s="2" t="s">
        <v>56</v>
      </c>
      <c r="Q167" s="2" t="s">
        <v>520</v>
      </c>
      <c r="R167" s="2" t="s">
        <v>508</v>
      </c>
      <c r="T167" s="2" t="s">
        <v>509</v>
      </c>
      <c r="U167" s="2" t="s">
        <v>521</v>
      </c>
      <c r="W167" s="2" t="s">
        <v>510</v>
      </c>
    </row>
    <row r="168" spans="1:23" ht="20.399999999999999" x14ac:dyDescent="0.3">
      <c r="A168" s="2" t="s">
        <v>497</v>
      </c>
      <c r="B168" s="2" t="s">
        <v>518</v>
      </c>
      <c r="C168" s="2" t="s">
        <v>25</v>
      </c>
      <c r="D168" s="3">
        <f t="shared" si="8"/>
        <v>0.14984066493643014</v>
      </c>
      <c r="E168" s="4">
        <f t="shared" si="9"/>
        <v>4.99</v>
      </c>
      <c r="F168" s="4">
        <f t="shared" si="10"/>
        <v>5.7377049180327866</v>
      </c>
      <c r="G168" s="4">
        <f t="shared" si="11"/>
        <v>0.74770491803278638</v>
      </c>
      <c r="H168" s="2" t="s">
        <v>26</v>
      </c>
      <c r="I168" s="2" t="s">
        <v>27</v>
      </c>
      <c r="J168" s="4">
        <v>0.998</v>
      </c>
      <c r="K168" s="4">
        <v>1.1475409836065573</v>
      </c>
      <c r="L168" s="4">
        <v>5</v>
      </c>
      <c r="M168" s="2" t="s">
        <v>519</v>
      </c>
      <c r="N168" s="2" t="s">
        <v>29</v>
      </c>
      <c r="O168" s="2" t="s">
        <v>500</v>
      </c>
      <c r="P168" s="2" t="s">
        <v>56</v>
      </c>
      <c r="Q168" s="2" t="s">
        <v>520</v>
      </c>
      <c r="R168" s="2" t="s">
        <v>515</v>
      </c>
      <c r="T168" s="2" t="s">
        <v>516</v>
      </c>
      <c r="U168" s="2" t="s">
        <v>521</v>
      </c>
      <c r="W168" s="2" t="s">
        <v>517</v>
      </c>
    </row>
    <row r="169" spans="1:23" ht="20.399999999999999" x14ac:dyDescent="0.3">
      <c r="A169" s="2" t="s">
        <v>497</v>
      </c>
      <c r="B169" s="2" t="s">
        <v>506</v>
      </c>
      <c r="C169" s="2" t="s">
        <v>25</v>
      </c>
      <c r="D169" s="3">
        <f t="shared" si="8"/>
        <v>0.16265550517381699</v>
      </c>
      <c r="E169" s="4">
        <f t="shared" si="9"/>
        <v>11.843999999999999</v>
      </c>
      <c r="F169" s="4">
        <f t="shared" si="10"/>
        <v>13.770491803278688</v>
      </c>
      <c r="G169" s="4">
        <f t="shared" si="11"/>
        <v>1.9264918032786884</v>
      </c>
      <c r="H169" s="2" t="s">
        <v>26</v>
      </c>
      <c r="I169" s="2" t="s">
        <v>27</v>
      </c>
      <c r="J169" s="4">
        <v>0.98699999999999999</v>
      </c>
      <c r="K169" s="4">
        <v>1.1475409836065573</v>
      </c>
      <c r="L169" s="4">
        <v>12</v>
      </c>
      <c r="M169" s="2" t="s">
        <v>222</v>
      </c>
      <c r="N169" s="2" t="s">
        <v>29</v>
      </c>
      <c r="O169" s="2" t="s">
        <v>500</v>
      </c>
      <c r="P169" s="2" t="s">
        <v>56</v>
      </c>
      <c r="Q169" s="2" t="s">
        <v>223</v>
      </c>
      <c r="R169" s="2" t="s">
        <v>502</v>
      </c>
      <c r="T169" s="2" t="s">
        <v>503</v>
      </c>
      <c r="U169" s="2" t="s">
        <v>507</v>
      </c>
      <c r="W169" s="2" t="s">
        <v>505</v>
      </c>
    </row>
    <row r="170" spans="1:23" ht="20.399999999999999" x14ac:dyDescent="0.3">
      <c r="A170" s="2" t="s">
        <v>497</v>
      </c>
      <c r="B170" s="2" t="s">
        <v>506</v>
      </c>
      <c r="C170" s="2" t="s">
        <v>25</v>
      </c>
      <c r="D170" s="3">
        <f t="shared" si="8"/>
        <v>0.16265550517381699</v>
      </c>
      <c r="E170" s="4">
        <f t="shared" si="9"/>
        <v>5.9219999999999997</v>
      </c>
      <c r="F170" s="4">
        <f t="shared" si="10"/>
        <v>6.8852459016393439</v>
      </c>
      <c r="G170" s="4">
        <f t="shared" si="11"/>
        <v>0.9632459016393442</v>
      </c>
      <c r="H170" s="2" t="s">
        <v>26</v>
      </c>
      <c r="I170" s="2" t="s">
        <v>27</v>
      </c>
      <c r="J170" s="4">
        <v>0.98699999999999999</v>
      </c>
      <c r="K170" s="4">
        <v>1.1475409836065573</v>
      </c>
      <c r="L170" s="4">
        <v>6</v>
      </c>
      <c r="M170" s="2" t="s">
        <v>222</v>
      </c>
      <c r="N170" s="2" t="s">
        <v>29</v>
      </c>
      <c r="O170" s="2" t="s">
        <v>500</v>
      </c>
      <c r="P170" s="2" t="s">
        <v>56</v>
      </c>
      <c r="Q170" s="2" t="s">
        <v>223</v>
      </c>
      <c r="R170" s="2" t="s">
        <v>508</v>
      </c>
      <c r="T170" s="2" t="s">
        <v>509</v>
      </c>
      <c r="U170" s="2" t="s">
        <v>507</v>
      </c>
      <c r="W170" s="2" t="s">
        <v>510</v>
      </c>
    </row>
    <row r="171" spans="1:23" ht="20.399999999999999" x14ac:dyDescent="0.3">
      <c r="A171" s="2" t="s">
        <v>497</v>
      </c>
      <c r="B171" s="2" t="s">
        <v>522</v>
      </c>
      <c r="C171" s="2" t="s">
        <v>25</v>
      </c>
      <c r="D171" s="3">
        <f t="shared" si="8"/>
        <v>0.18397085610200364</v>
      </c>
      <c r="E171" s="4">
        <f t="shared" si="9"/>
        <v>5.4</v>
      </c>
      <c r="F171" s="4">
        <f t="shared" si="10"/>
        <v>6.3934426229508201</v>
      </c>
      <c r="G171" s="4">
        <f t="shared" si="11"/>
        <v>0.99344262295081975</v>
      </c>
      <c r="H171" s="2" t="s">
        <v>26</v>
      </c>
      <c r="I171" s="2" t="s">
        <v>27</v>
      </c>
      <c r="J171" s="4">
        <v>0.9</v>
      </c>
      <c r="K171" s="4">
        <v>1.0655737704918034</v>
      </c>
      <c r="L171" s="4">
        <v>6</v>
      </c>
      <c r="M171" s="2" t="s">
        <v>55</v>
      </c>
      <c r="N171" s="2" t="s">
        <v>29</v>
      </c>
      <c r="O171" s="2" t="s">
        <v>500</v>
      </c>
      <c r="P171" s="2" t="s">
        <v>56</v>
      </c>
      <c r="Q171" s="2" t="s">
        <v>56</v>
      </c>
      <c r="R171" s="2" t="s">
        <v>508</v>
      </c>
      <c r="T171" s="2" t="s">
        <v>509</v>
      </c>
      <c r="U171" s="2" t="s">
        <v>523</v>
      </c>
      <c r="W171" s="2" t="s">
        <v>510</v>
      </c>
    </row>
    <row r="172" spans="1:23" x14ac:dyDescent="0.3">
      <c r="A172" s="2" t="s">
        <v>158</v>
      </c>
      <c r="B172" s="2" t="s">
        <v>308</v>
      </c>
      <c r="C172" s="2" t="s">
        <v>25</v>
      </c>
      <c r="D172" s="3">
        <f t="shared" si="8"/>
        <v>0.24628511168631984</v>
      </c>
      <c r="E172" s="4">
        <f t="shared" si="9"/>
        <v>12.824999999999999</v>
      </c>
      <c r="F172" s="4">
        <f t="shared" si="10"/>
        <v>15.983606557377051</v>
      </c>
      <c r="G172" s="4">
        <f t="shared" si="11"/>
        <v>3.1586065573770519</v>
      </c>
      <c r="H172" s="2" t="s">
        <v>26</v>
      </c>
      <c r="I172" s="2" t="s">
        <v>27</v>
      </c>
      <c r="J172" s="4">
        <v>0.85499999999999998</v>
      </c>
      <c r="K172" s="4">
        <v>1.0655737704918034</v>
      </c>
      <c r="L172" s="4">
        <v>15</v>
      </c>
      <c r="M172" s="2" t="s">
        <v>261</v>
      </c>
      <c r="N172" s="2" t="s">
        <v>29</v>
      </c>
      <c r="O172" s="2" t="s">
        <v>160</v>
      </c>
      <c r="P172" s="2" t="s">
        <v>161</v>
      </c>
      <c r="Q172" s="2" t="s">
        <v>262</v>
      </c>
      <c r="R172" s="2" t="s">
        <v>229</v>
      </c>
      <c r="T172" s="2" t="s">
        <v>230</v>
      </c>
      <c r="U172" s="2" t="s">
        <v>309</v>
      </c>
      <c r="W172" s="2" t="s">
        <v>232</v>
      </c>
    </row>
    <row r="173" spans="1:23" x14ac:dyDescent="0.3">
      <c r="A173" s="2" t="s">
        <v>158</v>
      </c>
      <c r="B173" s="2" t="s">
        <v>308</v>
      </c>
      <c r="C173" s="2" t="s">
        <v>25</v>
      </c>
      <c r="D173" s="3">
        <f t="shared" si="8"/>
        <v>0.24628511168631972</v>
      </c>
      <c r="E173" s="4">
        <f t="shared" si="9"/>
        <v>3.42</v>
      </c>
      <c r="F173" s="4">
        <f t="shared" si="10"/>
        <v>4.2622950819672134</v>
      </c>
      <c r="G173" s="4">
        <f t="shared" si="11"/>
        <v>0.84229508196721348</v>
      </c>
      <c r="H173" s="2" t="s">
        <v>26</v>
      </c>
      <c r="I173" s="2" t="s">
        <v>27</v>
      </c>
      <c r="J173" s="4">
        <v>0.85499999999999998</v>
      </c>
      <c r="K173" s="4">
        <v>1.0655737704918034</v>
      </c>
      <c r="L173" s="4">
        <v>4</v>
      </c>
      <c r="M173" s="2" t="s">
        <v>261</v>
      </c>
      <c r="N173" s="2" t="s">
        <v>29</v>
      </c>
      <c r="O173" s="2" t="s">
        <v>160</v>
      </c>
      <c r="P173" s="2" t="s">
        <v>161</v>
      </c>
      <c r="Q173" s="2" t="s">
        <v>262</v>
      </c>
      <c r="R173" s="2" t="s">
        <v>245</v>
      </c>
      <c r="T173" s="2" t="s">
        <v>246</v>
      </c>
      <c r="U173" s="2" t="s">
        <v>309</v>
      </c>
      <c r="W173" s="2" t="s">
        <v>248</v>
      </c>
    </row>
    <row r="174" spans="1:23" x14ac:dyDescent="0.3">
      <c r="A174" s="2" t="s">
        <v>158</v>
      </c>
      <c r="B174" s="2" t="s">
        <v>308</v>
      </c>
      <c r="C174" s="2" t="s">
        <v>25</v>
      </c>
      <c r="D174" s="3">
        <f t="shared" si="8"/>
        <v>0.24628511168631972</v>
      </c>
      <c r="E174" s="4">
        <f t="shared" si="9"/>
        <v>41.04</v>
      </c>
      <c r="F174" s="4">
        <f t="shared" si="10"/>
        <v>51.147540983606561</v>
      </c>
      <c r="G174" s="4">
        <f t="shared" si="11"/>
        <v>10.107540983606562</v>
      </c>
      <c r="H174" s="2" t="s">
        <v>26</v>
      </c>
      <c r="I174" s="2" t="s">
        <v>27</v>
      </c>
      <c r="J174" s="4">
        <v>0.85499999999999998</v>
      </c>
      <c r="K174" s="4">
        <v>1.0655737704918034</v>
      </c>
      <c r="L174" s="4">
        <v>48</v>
      </c>
      <c r="M174" s="2" t="s">
        <v>261</v>
      </c>
      <c r="N174" s="2" t="s">
        <v>29</v>
      </c>
      <c r="O174" s="2" t="s">
        <v>160</v>
      </c>
      <c r="P174" s="2" t="s">
        <v>161</v>
      </c>
      <c r="Q174" s="2" t="s">
        <v>262</v>
      </c>
      <c r="R174" s="2" t="s">
        <v>176</v>
      </c>
      <c r="T174" s="2" t="s">
        <v>177</v>
      </c>
      <c r="U174" s="2" t="s">
        <v>309</v>
      </c>
      <c r="W174" s="2" t="s">
        <v>179</v>
      </c>
    </row>
    <row r="175" spans="1:23" x14ac:dyDescent="0.3">
      <c r="A175" s="2" t="s">
        <v>158</v>
      </c>
      <c r="B175" s="2" t="s">
        <v>308</v>
      </c>
      <c r="C175" s="2" t="s">
        <v>25</v>
      </c>
      <c r="D175" s="3">
        <f t="shared" si="8"/>
        <v>0.24628511168631961</v>
      </c>
      <c r="E175" s="4">
        <f t="shared" si="9"/>
        <v>8.5500000000000007</v>
      </c>
      <c r="F175" s="4">
        <f t="shared" si="10"/>
        <v>10.655737704918034</v>
      </c>
      <c r="G175" s="4">
        <f t="shared" si="11"/>
        <v>2.1057377049180328</v>
      </c>
      <c r="H175" s="2" t="s">
        <v>26</v>
      </c>
      <c r="I175" s="2" t="s">
        <v>27</v>
      </c>
      <c r="J175" s="4">
        <v>0.85499999999999998</v>
      </c>
      <c r="K175" s="4">
        <v>1.0655737704918034</v>
      </c>
      <c r="L175" s="4">
        <v>10</v>
      </c>
      <c r="M175" s="2" t="s">
        <v>261</v>
      </c>
      <c r="N175" s="2" t="s">
        <v>29</v>
      </c>
      <c r="O175" s="2" t="s">
        <v>160</v>
      </c>
      <c r="P175" s="2" t="s">
        <v>161</v>
      </c>
      <c r="Q175" s="2" t="s">
        <v>262</v>
      </c>
      <c r="R175" s="2" t="s">
        <v>162</v>
      </c>
      <c r="T175" s="2" t="s">
        <v>163</v>
      </c>
      <c r="U175" s="2" t="s">
        <v>309</v>
      </c>
      <c r="W175" s="2" t="s">
        <v>165</v>
      </c>
    </row>
    <row r="176" spans="1:23" x14ac:dyDescent="0.3">
      <c r="A176" s="2" t="s">
        <v>439</v>
      </c>
      <c r="B176" s="2" t="s">
        <v>440</v>
      </c>
      <c r="C176" s="2" t="s">
        <v>25</v>
      </c>
      <c r="D176" s="3">
        <f t="shared" si="8"/>
        <v>0.10837887067395265</v>
      </c>
      <c r="E176" s="4">
        <f t="shared" si="9"/>
        <v>0.9</v>
      </c>
      <c r="F176" s="4">
        <f t="shared" si="10"/>
        <v>0.99754098360655741</v>
      </c>
      <c r="G176" s="4">
        <f t="shared" si="11"/>
        <v>9.7540983606557385E-2</v>
      </c>
      <c r="H176" s="2" t="s">
        <v>26</v>
      </c>
      <c r="I176" s="2" t="s">
        <v>27</v>
      </c>
      <c r="J176" s="4">
        <v>0.9</v>
      </c>
      <c r="K176" s="4">
        <v>0.99754098360655741</v>
      </c>
      <c r="L176" s="4">
        <v>1</v>
      </c>
      <c r="M176" s="2" t="s">
        <v>55</v>
      </c>
      <c r="N176" s="2" t="s">
        <v>29</v>
      </c>
      <c r="O176" s="2" t="s">
        <v>554</v>
      </c>
      <c r="P176" s="2" t="s">
        <v>63</v>
      </c>
      <c r="Q176" s="2" t="s">
        <v>56</v>
      </c>
      <c r="R176" s="2" t="s">
        <v>555</v>
      </c>
      <c r="T176" s="2" t="s">
        <v>556</v>
      </c>
      <c r="U176" s="2" t="s">
        <v>441</v>
      </c>
      <c r="W176" s="2" t="s">
        <v>557</v>
      </c>
    </row>
    <row r="177" spans="1:23" ht="20.399999999999999" x14ac:dyDescent="0.3">
      <c r="A177" s="2" t="s">
        <v>305</v>
      </c>
      <c r="B177" s="2" t="s">
        <v>347</v>
      </c>
      <c r="C177" s="2" t="s">
        <v>25</v>
      </c>
      <c r="D177" s="3">
        <f t="shared" si="8"/>
        <v>0.12564212766828353</v>
      </c>
      <c r="E177" s="4">
        <f t="shared" si="9"/>
        <v>4.806</v>
      </c>
      <c r="F177" s="4">
        <f t="shared" si="10"/>
        <v>5.4098360655737707</v>
      </c>
      <c r="G177" s="4">
        <f t="shared" si="11"/>
        <v>0.60383606557377068</v>
      </c>
      <c r="H177" s="2" t="s">
        <v>26</v>
      </c>
      <c r="I177" s="2" t="s">
        <v>27</v>
      </c>
      <c r="J177" s="4">
        <v>0.80100000000000005</v>
      </c>
      <c r="K177" s="4">
        <v>0.90163934426229508</v>
      </c>
      <c r="L177" s="4">
        <v>6</v>
      </c>
      <c r="M177" s="2" t="s">
        <v>55</v>
      </c>
      <c r="N177" s="2" t="s">
        <v>338</v>
      </c>
      <c r="O177" s="2" t="s">
        <v>312</v>
      </c>
      <c r="P177" s="2" t="s">
        <v>313</v>
      </c>
      <c r="Q177" s="2" t="s">
        <v>56</v>
      </c>
      <c r="R177" s="2" t="s">
        <v>339</v>
      </c>
      <c r="T177" s="2" t="s">
        <v>340</v>
      </c>
      <c r="U177" s="2" t="s">
        <v>348</v>
      </c>
      <c r="W177" s="2" t="s">
        <v>342</v>
      </c>
    </row>
    <row r="178" spans="1:23" x14ac:dyDescent="0.3">
      <c r="A178" s="2" t="s">
        <v>23</v>
      </c>
      <c r="B178" s="2" t="s">
        <v>24</v>
      </c>
      <c r="C178" s="2" t="s">
        <v>25</v>
      </c>
      <c r="D178" s="3">
        <f t="shared" si="8"/>
        <v>0.12704918032786874</v>
      </c>
      <c r="E178" s="4">
        <f t="shared" si="9"/>
        <v>4.8000000000000007</v>
      </c>
      <c r="F178" s="4">
        <f t="shared" si="10"/>
        <v>5.4098360655737707</v>
      </c>
      <c r="G178" s="4">
        <f t="shared" si="11"/>
        <v>0.60983606557377001</v>
      </c>
      <c r="H178" s="2" t="s">
        <v>26</v>
      </c>
      <c r="I178" s="2" t="s">
        <v>27</v>
      </c>
      <c r="J178" s="4">
        <v>0.8</v>
      </c>
      <c r="K178" s="4">
        <v>0.90163934426229508</v>
      </c>
      <c r="L178" s="4">
        <v>6</v>
      </c>
      <c r="M178" s="2" t="s">
        <v>28</v>
      </c>
      <c r="N178" s="2" t="s">
        <v>29</v>
      </c>
      <c r="O178" s="2" t="s">
        <v>30</v>
      </c>
      <c r="P178" s="2" t="s">
        <v>31</v>
      </c>
      <c r="Q178" s="2" t="s">
        <v>32</v>
      </c>
      <c r="R178" s="2" t="s">
        <v>33</v>
      </c>
      <c r="T178" s="2" t="s">
        <v>34</v>
      </c>
      <c r="U178" s="2" t="s">
        <v>35</v>
      </c>
      <c r="W178" s="2" t="s">
        <v>36</v>
      </c>
    </row>
    <row r="179" spans="1:23" x14ac:dyDescent="0.3">
      <c r="A179" s="2" t="s">
        <v>366</v>
      </c>
      <c r="B179" s="2" t="s">
        <v>728</v>
      </c>
      <c r="C179" s="2" t="s">
        <v>25</v>
      </c>
      <c r="D179" s="3">
        <f t="shared" si="8"/>
        <v>0.21188083906222457</v>
      </c>
      <c r="E179" s="4">
        <f t="shared" si="9"/>
        <v>16.367999999999999</v>
      </c>
      <c r="F179" s="4">
        <f t="shared" si="10"/>
        <v>19.83606557377049</v>
      </c>
      <c r="G179" s="4">
        <f t="shared" si="11"/>
        <v>3.4680655737704917</v>
      </c>
      <c r="H179" s="2" t="s">
        <v>26</v>
      </c>
      <c r="I179" s="2" t="s">
        <v>27</v>
      </c>
      <c r="J179" s="4">
        <v>0.74399999999999999</v>
      </c>
      <c r="K179" s="4">
        <v>0.90163934426229508</v>
      </c>
      <c r="L179" s="4">
        <v>22</v>
      </c>
      <c r="M179" s="2" t="s">
        <v>55</v>
      </c>
      <c r="N179" s="2" t="s">
        <v>29</v>
      </c>
      <c r="O179" s="2" t="s">
        <v>717</v>
      </c>
      <c r="P179" s="2" t="s">
        <v>718</v>
      </c>
      <c r="Q179" s="2" t="s">
        <v>56</v>
      </c>
      <c r="R179" s="2" t="s">
        <v>729</v>
      </c>
      <c r="T179" s="2" t="s">
        <v>730</v>
      </c>
      <c r="U179" s="2" t="s">
        <v>731</v>
      </c>
      <c r="W179" s="2" t="s">
        <v>505</v>
      </c>
    </row>
    <row r="180" spans="1:23" x14ac:dyDescent="0.3">
      <c r="A180" s="2" t="s">
        <v>225</v>
      </c>
      <c r="B180" s="2" t="s">
        <v>226</v>
      </c>
      <c r="C180" s="2" t="s">
        <v>25</v>
      </c>
      <c r="D180" s="3">
        <f t="shared" si="8"/>
        <v>0.21843154630039868</v>
      </c>
      <c r="E180" s="4">
        <f t="shared" si="9"/>
        <v>7.4</v>
      </c>
      <c r="F180" s="4">
        <f t="shared" si="10"/>
        <v>9.0163934426229506</v>
      </c>
      <c r="G180" s="4">
        <f t="shared" si="11"/>
        <v>1.6163934426229503</v>
      </c>
      <c r="H180" s="2" t="s">
        <v>26</v>
      </c>
      <c r="I180" s="2" t="s">
        <v>27</v>
      </c>
      <c r="J180" s="4">
        <v>0.74</v>
      </c>
      <c r="K180" s="4">
        <v>0.90163934426229508</v>
      </c>
      <c r="L180" s="4">
        <v>10</v>
      </c>
      <c r="M180" s="2" t="s">
        <v>227</v>
      </c>
      <c r="N180" s="2" t="s">
        <v>29</v>
      </c>
      <c r="O180" s="2" t="s">
        <v>160</v>
      </c>
      <c r="P180" s="2" t="s">
        <v>161</v>
      </c>
      <c r="Q180" s="2" t="s">
        <v>228</v>
      </c>
      <c r="R180" s="2" t="s">
        <v>229</v>
      </c>
      <c r="T180" s="2" t="s">
        <v>230</v>
      </c>
      <c r="U180" s="2" t="s">
        <v>231</v>
      </c>
      <c r="W180" s="2" t="s">
        <v>232</v>
      </c>
    </row>
    <row r="181" spans="1:23" x14ac:dyDescent="0.3">
      <c r="A181" s="2" t="s">
        <v>212</v>
      </c>
      <c r="B181" s="2" t="s">
        <v>736</v>
      </c>
      <c r="C181" s="2" t="s">
        <v>25</v>
      </c>
      <c r="D181" s="3">
        <f t="shared" si="8"/>
        <v>0.14001687224970935</v>
      </c>
      <c r="E181" s="4">
        <f t="shared" si="9"/>
        <v>10.065999999999999</v>
      </c>
      <c r="F181" s="4">
        <f t="shared" si="10"/>
        <v>11.475409836065573</v>
      </c>
      <c r="G181" s="4">
        <f t="shared" si="11"/>
        <v>1.4094098360655742</v>
      </c>
      <c r="H181" s="2" t="s">
        <v>26</v>
      </c>
      <c r="I181" s="2" t="s">
        <v>27</v>
      </c>
      <c r="J181" s="4">
        <v>0.71899999999999997</v>
      </c>
      <c r="K181" s="4">
        <v>0.81967213114754101</v>
      </c>
      <c r="L181" s="4">
        <v>14</v>
      </c>
      <c r="M181" s="2" t="s">
        <v>737</v>
      </c>
      <c r="N181" s="2" t="s">
        <v>29</v>
      </c>
      <c r="O181" s="2" t="s">
        <v>717</v>
      </c>
      <c r="P181" s="2" t="s">
        <v>718</v>
      </c>
      <c r="Q181" s="2" t="s">
        <v>738</v>
      </c>
      <c r="R181" s="2" t="s">
        <v>729</v>
      </c>
      <c r="T181" s="2" t="s">
        <v>730</v>
      </c>
      <c r="U181" s="2" t="s">
        <v>739</v>
      </c>
      <c r="W181" s="2" t="s">
        <v>505</v>
      </c>
    </row>
    <row r="182" spans="1:23" x14ac:dyDescent="0.3">
      <c r="A182" s="2" t="s">
        <v>497</v>
      </c>
      <c r="B182" s="2" t="s">
        <v>552</v>
      </c>
      <c r="C182" s="2" t="s">
        <v>25</v>
      </c>
      <c r="D182" s="3">
        <f t="shared" si="8"/>
        <v>0.15772899879596197</v>
      </c>
      <c r="E182" s="4">
        <f t="shared" si="9"/>
        <v>50.975999999999999</v>
      </c>
      <c r="F182" s="4">
        <f t="shared" si="10"/>
        <v>59.016393442622956</v>
      </c>
      <c r="G182" s="4">
        <f t="shared" si="11"/>
        <v>8.0403934426229569</v>
      </c>
      <c r="H182" s="2" t="s">
        <v>26</v>
      </c>
      <c r="I182" s="2" t="s">
        <v>27</v>
      </c>
      <c r="J182" s="4">
        <v>0.70799999999999996</v>
      </c>
      <c r="K182" s="4">
        <v>0.81967213114754101</v>
      </c>
      <c r="L182" s="4">
        <v>72</v>
      </c>
      <c r="M182" s="2" t="s">
        <v>55</v>
      </c>
      <c r="N182" s="2" t="s">
        <v>29</v>
      </c>
      <c r="O182" s="2" t="s">
        <v>500</v>
      </c>
      <c r="P182" s="2" t="s">
        <v>56</v>
      </c>
      <c r="Q182" s="2" t="s">
        <v>56</v>
      </c>
      <c r="R182" s="2" t="s">
        <v>502</v>
      </c>
      <c r="T182" s="2" t="s">
        <v>503</v>
      </c>
      <c r="U182" s="2" t="s">
        <v>553</v>
      </c>
      <c r="W182" s="2" t="s">
        <v>505</v>
      </c>
    </row>
    <row r="183" spans="1:23" x14ac:dyDescent="0.3">
      <c r="A183" s="2" t="s">
        <v>497</v>
      </c>
      <c r="B183" s="2" t="s">
        <v>552</v>
      </c>
      <c r="C183" s="2" t="s">
        <v>25</v>
      </c>
      <c r="D183" s="3">
        <f t="shared" si="8"/>
        <v>0.15772899879596206</v>
      </c>
      <c r="E183" s="4">
        <f t="shared" si="9"/>
        <v>8.4959999999999987</v>
      </c>
      <c r="F183" s="4">
        <f t="shared" si="10"/>
        <v>9.8360655737704921</v>
      </c>
      <c r="G183" s="4">
        <f t="shared" si="11"/>
        <v>1.3400655737704934</v>
      </c>
      <c r="H183" s="2" t="s">
        <v>26</v>
      </c>
      <c r="I183" s="2" t="s">
        <v>27</v>
      </c>
      <c r="J183" s="4">
        <v>0.70799999999999996</v>
      </c>
      <c r="K183" s="4">
        <v>0.81967213114754101</v>
      </c>
      <c r="L183" s="4">
        <v>12</v>
      </c>
      <c r="M183" s="2" t="s">
        <v>55</v>
      </c>
      <c r="N183" s="2" t="s">
        <v>29</v>
      </c>
      <c r="O183" s="2" t="s">
        <v>500</v>
      </c>
      <c r="P183" s="2" t="s">
        <v>56</v>
      </c>
      <c r="Q183" s="2" t="s">
        <v>56</v>
      </c>
      <c r="R183" s="2" t="s">
        <v>543</v>
      </c>
      <c r="T183" s="2" t="s">
        <v>544</v>
      </c>
      <c r="U183" s="2" t="s">
        <v>553</v>
      </c>
      <c r="W183" s="2" t="s">
        <v>545</v>
      </c>
    </row>
    <row r="184" spans="1:23" x14ac:dyDescent="0.3">
      <c r="A184" s="2" t="s">
        <v>130</v>
      </c>
      <c r="B184" s="2" t="s">
        <v>150</v>
      </c>
      <c r="C184" s="2" t="s">
        <v>25</v>
      </c>
      <c r="D184" s="3">
        <f t="shared" si="8"/>
        <v>0.24759837313172156</v>
      </c>
      <c r="E184" s="4">
        <f t="shared" si="9"/>
        <v>3.2850000000000001</v>
      </c>
      <c r="F184" s="4">
        <f t="shared" si="10"/>
        <v>4.0983606557377055</v>
      </c>
      <c r="G184" s="4">
        <f t="shared" si="11"/>
        <v>0.81336065573770533</v>
      </c>
      <c r="H184" s="2" t="s">
        <v>26</v>
      </c>
      <c r="I184" s="2" t="s">
        <v>27</v>
      </c>
      <c r="J184" s="4">
        <v>0.65700000000000003</v>
      </c>
      <c r="K184" s="4">
        <v>0.81967213114754101</v>
      </c>
      <c r="L184" s="4">
        <v>5</v>
      </c>
      <c r="M184" s="2" t="s">
        <v>55</v>
      </c>
      <c r="N184" s="2" t="s">
        <v>29</v>
      </c>
      <c r="O184" s="2" t="s">
        <v>30</v>
      </c>
      <c r="P184" s="2" t="s">
        <v>31</v>
      </c>
      <c r="Q184" s="2" t="s">
        <v>56</v>
      </c>
      <c r="R184" s="2" t="s">
        <v>41</v>
      </c>
      <c r="T184" s="2" t="s">
        <v>42</v>
      </c>
      <c r="U184" s="2" t="s">
        <v>151</v>
      </c>
      <c r="W184" s="2" t="s">
        <v>44</v>
      </c>
    </row>
    <row r="185" spans="1:23" x14ac:dyDescent="0.3">
      <c r="A185" s="2" t="s">
        <v>158</v>
      </c>
      <c r="B185" s="2" t="s">
        <v>300</v>
      </c>
      <c r="C185" s="2" t="s">
        <v>25</v>
      </c>
      <c r="D185" s="3">
        <f t="shared" si="8"/>
        <v>0.25045328931737765</v>
      </c>
      <c r="E185" s="4">
        <f t="shared" si="9"/>
        <v>3.9329999999999998</v>
      </c>
      <c r="F185" s="4">
        <f t="shared" si="10"/>
        <v>4.918032786885246</v>
      </c>
      <c r="G185" s="4">
        <f t="shared" si="11"/>
        <v>0.9850327868852462</v>
      </c>
      <c r="H185" s="2" t="s">
        <v>26</v>
      </c>
      <c r="I185" s="2" t="s">
        <v>27</v>
      </c>
      <c r="J185" s="4">
        <v>0.65549999999999997</v>
      </c>
      <c r="K185" s="4">
        <v>0.81967213114754101</v>
      </c>
      <c r="L185" s="4">
        <v>6</v>
      </c>
      <c r="M185" s="2" t="s">
        <v>243</v>
      </c>
      <c r="N185" s="2" t="s">
        <v>29</v>
      </c>
      <c r="O185" s="2" t="s">
        <v>160</v>
      </c>
      <c r="P185" s="2" t="s">
        <v>161</v>
      </c>
      <c r="Q185" s="2" t="s">
        <v>244</v>
      </c>
      <c r="R185" s="2" t="s">
        <v>301</v>
      </c>
      <c r="T185" s="2" t="s">
        <v>302</v>
      </c>
      <c r="U185" s="2" t="s">
        <v>303</v>
      </c>
      <c r="W185" s="2" t="s">
        <v>304</v>
      </c>
    </row>
    <row r="186" spans="1:23" ht="20.399999999999999" x14ac:dyDescent="0.3">
      <c r="A186" s="2" t="s">
        <v>158</v>
      </c>
      <c r="B186" s="2" t="s">
        <v>300</v>
      </c>
      <c r="C186" s="2" t="s">
        <v>25</v>
      </c>
      <c r="D186" s="3">
        <f t="shared" si="8"/>
        <v>0.25045328931737776</v>
      </c>
      <c r="E186" s="4">
        <f t="shared" si="9"/>
        <v>6.5549999999999997</v>
      </c>
      <c r="F186" s="4">
        <f t="shared" si="10"/>
        <v>8.1967213114754109</v>
      </c>
      <c r="G186" s="4">
        <f t="shared" si="11"/>
        <v>1.6417213114754112</v>
      </c>
      <c r="H186" s="2" t="s">
        <v>26</v>
      </c>
      <c r="I186" s="2" t="s">
        <v>27</v>
      </c>
      <c r="J186" s="4">
        <v>0.65549999999999997</v>
      </c>
      <c r="K186" s="4">
        <v>0.81967213114754101</v>
      </c>
      <c r="L186" s="4">
        <v>10</v>
      </c>
      <c r="M186" s="2" t="s">
        <v>243</v>
      </c>
      <c r="N186" s="2" t="s">
        <v>338</v>
      </c>
      <c r="O186" s="2" t="s">
        <v>312</v>
      </c>
      <c r="P186" s="2" t="s">
        <v>313</v>
      </c>
      <c r="Q186" s="2" t="s">
        <v>244</v>
      </c>
      <c r="R186" s="2" t="s">
        <v>339</v>
      </c>
      <c r="T186" s="2" t="s">
        <v>340</v>
      </c>
      <c r="U186" s="2" t="s">
        <v>303</v>
      </c>
      <c r="W186" s="2" t="s">
        <v>342</v>
      </c>
    </row>
    <row r="187" spans="1:23" x14ac:dyDescent="0.3">
      <c r="A187" s="2" t="s">
        <v>130</v>
      </c>
      <c r="B187" s="2" t="s">
        <v>141</v>
      </c>
      <c r="C187" s="2" t="s">
        <v>25</v>
      </c>
      <c r="D187" s="3">
        <f t="shared" si="8"/>
        <v>0.24999999999999994</v>
      </c>
      <c r="E187" s="4">
        <f t="shared" si="9"/>
        <v>7.5540983606557379</v>
      </c>
      <c r="F187" s="4">
        <f t="shared" si="10"/>
        <v>9.442622950819672</v>
      </c>
      <c r="G187" s="4">
        <f t="shared" si="11"/>
        <v>1.888524590163934</v>
      </c>
      <c r="H187" s="2" t="s">
        <v>26</v>
      </c>
      <c r="I187" s="2" t="s">
        <v>27</v>
      </c>
      <c r="J187" s="4">
        <v>0.62950819672131153</v>
      </c>
      <c r="K187" s="4">
        <v>0.78688524590163933</v>
      </c>
      <c r="L187" s="4">
        <v>12</v>
      </c>
      <c r="M187" s="2" t="s">
        <v>142</v>
      </c>
      <c r="N187" s="2" t="s">
        <v>29</v>
      </c>
      <c r="O187" s="2" t="s">
        <v>30</v>
      </c>
      <c r="P187" s="2" t="s">
        <v>31</v>
      </c>
      <c r="Q187" s="2" t="s">
        <v>143</v>
      </c>
      <c r="R187" s="2" t="s">
        <v>116</v>
      </c>
      <c r="T187" s="2" t="s">
        <v>117</v>
      </c>
      <c r="U187" s="2" t="s">
        <v>144</v>
      </c>
      <c r="W187" s="2" t="s">
        <v>118</v>
      </c>
    </row>
    <row r="188" spans="1:23" x14ac:dyDescent="0.3">
      <c r="A188" s="2" t="s">
        <v>130</v>
      </c>
      <c r="B188" s="2" t="s">
        <v>141</v>
      </c>
      <c r="C188" s="2" t="s">
        <v>25</v>
      </c>
      <c r="D188" s="3">
        <f t="shared" si="8"/>
        <v>0.24999999999999994</v>
      </c>
      <c r="E188" s="4">
        <f t="shared" si="9"/>
        <v>7.5540983606557379</v>
      </c>
      <c r="F188" s="4">
        <f t="shared" si="10"/>
        <v>9.442622950819672</v>
      </c>
      <c r="G188" s="4">
        <f t="shared" si="11"/>
        <v>1.888524590163934</v>
      </c>
      <c r="H188" s="2" t="s">
        <v>26</v>
      </c>
      <c r="I188" s="2" t="s">
        <v>27</v>
      </c>
      <c r="J188" s="4">
        <v>0.62950819672131153</v>
      </c>
      <c r="K188" s="4">
        <v>0.78688524590163933</v>
      </c>
      <c r="L188" s="4">
        <v>12</v>
      </c>
      <c r="M188" s="2" t="s">
        <v>142</v>
      </c>
      <c r="N188" s="2" t="s">
        <v>29</v>
      </c>
      <c r="O188" s="2" t="s">
        <v>30</v>
      </c>
      <c r="P188" s="2" t="s">
        <v>31</v>
      </c>
      <c r="Q188" s="2" t="s">
        <v>143</v>
      </c>
      <c r="R188" s="2" t="s">
        <v>145</v>
      </c>
      <c r="T188" s="2" t="s">
        <v>146</v>
      </c>
      <c r="U188" s="2" t="s">
        <v>144</v>
      </c>
      <c r="W188" s="2" t="s">
        <v>147</v>
      </c>
    </row>
    <row r="189" spans="1:23" x14ac:dyDescent="0.3">
      <c r="A189" s="2" t="s">
        <v>439</v>
      </c>
      <c r="B189" s="2" t="s">
        <v>639</v>
      </c>
      <c r="C189" s="2" t="s">
        <v>25</v>
      </c>
      <c r="D189" s="3">
        <f t="shared" si="8"/>
        <v>0.16635561160151327</v>
      </c>
      <c r="E189" s="4">
        <f t="shared" si="9"/>
        <v>0.65</v>
      </c>
      <c r="F189" s="4">
        <f t="shared" si="10"/>
        <v>0.75813114754098365</v>
      </c>
      <c r="G189" s="4">
        <f t="shared" si="11"/>
        <v>0.10813114754098363</v>
      </c>
      <c r="H189" s="2" t="s">
        <v>26</v>
      </c>
      <c r="I189" s="2" t="s">
        <v>27</v>
      </c>
      <c r="J189" s="4">
        <v>0.65</v>
      </c>
      <c r="K189" s="4">
        <v>0.75813114754098365</v>
      </c>
      <c r="L189" s="4">
        <v>1</v>
      </c>
      <c r="M189" s="2" t="s">
        <v>55</v>
      </c>
      <c r="N189" s="2" t="s">
        <v>29</v>
      </c>
      <c r="O189" s="2" t="s">
        <v>554</v>
      </c>
      <c r="P189" s="2" t="s">
        <v>63</v>
      </c>
      <c r="Q189" s="2" t="s">
        <v>56</v>
      </c>
      <c r="R189" s="2" t="s">
        <v>555</v>
      </c>
      <c r="T189" s="2" t="s">
        <v>556</v>
      </c>
      <c r="U189" s="2" t="s">
        <v>640</v>
      </c>
      <c r="W189" s="2" t="s">
        <v>557</v>
      </c>
    </row>
    <row r="190" spans="1:23" x14ac:dyDescent="0.3">
      <c r="A190" s="2" t="s">
        <v>497</v>
      </c>
      <c r="B190" s="2" t="s">
        <v>498</v>
      </c>
      <c r="C190" s="2" t="s">
        <v>25</v>
      </c>
      <c r="D190" s="3">
        <f t="shared" si="8"/>
        <v>0.19311809482902634</v>
      </c>
      <c r="E190" s="4">
        <f t="shared" si="9"/>
        <v>7.4195999999999991</v>
      </c>
      <c r="F190" s="4">
        <f t="shared" si="10"/>
        <v>8.8524590163934427</v>
      </c>
      <c r="G190" s="4">
        <f t="shared" si="11"/>
        <v>1.4328590163934436</v>
      </c>
      <c r="H190" s="2" t="s">
        <v>26</v>
      </c>
      <c r="I190" s="2" t="s">
        <v>27</v>
      </c>
      <c r="J190" s="4">
        <v>0.61829999999999996</v>
      </c>
      <c r="K190" s="4">
        <v>0.73770491803278693</v>
      </c>
      <c r="L190" s="4">
        <v>12</v>
      </c>
      <c r="M190" s="2" t="s">
        <v>499</v>
      </c>
      <c r="N190" s="2" t="s">
        <v>29</v>
      </c>
      <c r="O190" s="2" t="s">
        <v>500</v>
      </c>
      <c r="P190" s="2" t="s">
        <v>56</v>
      </c>
      <c r="Q190" s="2" t="s">
        <v>501</v>
      </c>
      <c r="R190" s="2" t="s">
        <v>502</v>
      </c>
      <c r="T190" s="2" t="s">
        <v>503</v>
      </c>
      <c r="U190" s="2" t="s">
        <v>504</v>
      </c>
      <c r="W190" s="2" t="s">
        <v>505</v>
      </c>
    </row>
    <row r="191" spans="1:23" x14ac:dyDescent="0.3">
      <c r="A191" s="2" t="s">
        <v>212</v>
      </c>
      <c r="B191" s="2" t="s">
        <v>213</v>
      </c>
      <c r="C191" s="2" t="s">
        <v>25</v>
      </c>
      <c r="D191" s="3">
        <f t="shared" si="8"/>
        <v>0.22112702392264158</v>
      </c>
      <c r="E191" s="4">
        <f t="shared" si="9"/>
        <v>6.4439262295081967</v>
      </c>
      <c r="F191" s="4">
        <f t="shared" si="10"/>
        <v>7.8688524590163933</v>
      </c>
      <c r="G191" s="4">
        <f t="shared" si="11"/>
        <v>1.4249262295081966</v>
      </c>
      <c r="H191" s="2" t="s">
        <v>26</v>
      </c>
      <c r="I191" s="2" t="s">
        <v>27</v>
      </c>
      <c r="J191" s="4">
        <v>0.53699385245901643</v>
      </c>
      <c r="K191" s="4">
        <v>0.65573770491803274</v>
      </c>
      <c r="L191" s="4">
        <v>12</v>
      </c>
      <c r="M191" s="2" t="s">
        <v>214</v>
      </c>
      <c r="N191" s="2" t="s">
        <v>29</v>
      </c>
      <c r="O191" s="2" t="s">
        <v>160</v>
      </c>
      <c r="P191" s="2" t="s">
        <v>161</v>
      </c>
      <c r="Q191" s="2" t="s">
        <v>215</v>
      </c>
      <c r="R191" s="2" t="s">
        <v>162</v>
      </c>
      <c r="T191" s="2" t="s">
        <v>163</v>
      </c>
      <c r="U191" s="2" t="s">
        <v>216</v>
      </c>
      <c r="W191" s="2" t="s">
        <v>165</v>
      </c>
    </row>
    <row r="192" spans="1:23" x14ac:dyDescent="0.3">
      <c r="A192" s="2" t="s">
        <v>212</v>
      </c>
      <c r="B192" s="2" t="s">
        <v>213</v>
      </c>
      <c r="C192" s="2" t="s">
        <v>25</v>
      </c>
      <c r="D192" s="3">
        <f t="shared" si="8"/>
        <v>0.22112702392264127</v>
      </c>
      <c r="E192" s="4">
        <f t="shared" si="9"/>
        <v>32.219631147540987</v>
      </c>
      <c r="F192" s="4">
        <f t="shared" si="10"/>
        <v>39.344262295081961</v>
      </c>
      <c r="G192" s="4">
        <f t="shared" si="11"/>
        <v>7.124631147540974</v>
      </c>
      <c r="H192" s="2" t="s">
        <v>26</v>
      </c>
      <c r="I192" s="2" t="s">
        <v>27</v>
      </c>
      <c r="J192" s="4">
        <v>0.53699385245901643</v>
      </c>
      <c r="K192" s="4">
        <v>0.65573770491803274</v>
      </c>
      <c r="L192" s="4">
        <v>60</v>
      </c>
      <c r="M192" s="2" t="s">
        <v>214</v>
      </c>
      <c r="N192" s="2" t="s">
        <v>29</v>
      </c>
      <c r="O192" s="2" t="s">
        <v>717</v>
      </c>
      <c r="P192" s="2" t="s">
        <v>718</v>
      </c>
      <c r="Q192" s="2" t="s">
        <v>215</v>
      </c>
      <c r="R192" s="2" t="s">
        <v>723</v>
      </c>
      <c r="T192" s="2" t="s">
        <v>724</v>
      </c>
      <c r="U192" s="2" t="s">
        <v>216</v>
      </c>
      <c r="W192" s="2" t="s">
        <v>725</v>
      </c>
    </row>
    <row r="193" spans="1:23" x14ac:dyDescent="0.3">
      <c r="A193" s="2" t="s">
        <v>212</v>
      </c>
      <c r="B193" s="2" t="s">
        <v>213</v>
      </c>
      <c r="C193" s="2" t="s">
        <v>25</v>
      </c>
      <c r="D193" s="3">
        <f t="shared" si="8"/>
        <v>0.22112702392264127</v>
      </c>
      <c r="E193" s="4">
        <f t="shared" si="9"/>
        <v>32.219631147540987</v>
      </c>
      <c r="F193" s="4">
        <f t="shared" si="10"/>
        <v>39.344262295081961</v>
      </c>
      <c r="G193" s="4">
        <f t="shared" si="11"/>
        <v>7.124631147540974</v>
      </c>
      <c r="H193" s="2" t="s">
        <v>26</v>
      </c>
      <c r="I193" s="2" t="s">
        <v>27</v>
      </c>
      <c r="J193" s="4">
        <v>0.53699385245901643</v>
      </c>
      <c r="K193" s="4">
        <v>0.65573770491803274</v>
      </c>
      <c r="L193" s="4">
        <v>60</v>
      </c>
      <c r="M193" s="2" t="s">
        <v>214</v>
      </c>
      <c r="N193" s="2" t="s">
        <v>29</v>
      </c>
      <c r="O193" s="2" t="s">
        <v>717</v>
      </c>
      <c r="P193" s="2" t="s">
        <v>718</v>
      </c>
      <c r="Q193" s="2" t="s">
        <v>215</v>
      </c>
      <c r="R193" s="2" t="s">
        <v>729</v>
      </c>
      <c r="T193" s="2" t="s">
        <v>730</v>
      </c>
      <c r="U193" s="2" t="s">
        <v>216</v>
      </c>
      <c r="W193" s="2" t="s">
        <v>505</v>
      </c>
    </row>
    <row r="194" spans="1:23" x14ac:dyDescent="0.3">
      <c r="A194" s="2" t="s">
        <v>130</v>
      </c>
      <c r="B194" s="2" t="s">
        <v>137</v>
      </c>
      <c r="C194" s="2" t="s">
        <v>25</v>
      </c>
      <c r="D194" s="3">
        <f t="shared" si="8"/>
        <v>0.25391849529780558</v>
      </c>
      <c r="E194" s="4">
        <f t="shared" si="9"/>
        <v>3.1377049180327869</v>
      </c>
      <c r="F194" s="4">
        <f t="shared" si="10"/>
        <v>3.9344262295081966</v>
      </c>
      <c r="G194" s="4">
        <f t="shared" si="11"/>
        <v>0.7967213114754097</v>
      </c>
      <c r="H194" s="2" t="s">
        <v>26</v>
      </c>
      <c r="I194" s="2" t="s">
        <v>27</v>
      </c>
      <c r="J194" s="4">
        <v>0.5229508196721312</v>
      </c>
      <c r="K194" s="4">
        <v>0.65573770491803274</v>
      </c>
      <c r="L194" s="4">
        <v>6</v>
      </c>
      <c r="M194" s="2" t="s">
        <v>134</v>
      </c>
      <c r="N194" s="2" t="s">
        <v>29</v>
      </c>
      <c r="O194" s="2" t="s">
        <v>30</v>
      </c>
      <c r="P194" s="2" t="s">
        <v>31</v>
      </c>
      <c r="Q194" s="2" t="s">
        <v>135</v>
      </c>
      <c r="R194" s="2" t="s">
        <v>33</v>
      </c>
      <c r="T194" s="2" t="s">
        <v>34</v>
      </c>
      <c r="U194" s="2" t="s">
        <v>138</v>
      </c>
      <c r="W194" s="2" t="s">
        <v>36</v>
      </c>
    </row>
    <row r="195" spans="1:23" x14ac:dyDescent="0.3">
      <c r="A195" s="2" t="s">
        <v>130</v>
      </c>
      <c r="B195" s="2" t="s">
        <v>137</v>
      </c>
      <c r="C195" s="2" t="s">
        <v>25</v>
      </c>
      <c r="D195" s="3">
        <f t="shared" ref="D195:D258" si="12">G195/E195</f>
        <v>0.25391849529780558</v>
      </c>
      <c r="E195" s="4">
        <f t="shared" ref="E195:E258" si="13">J195*L195</f>
        <v>6.2754098360655739</v>
      </c>
      <c r="F195" s="4">
        <f t="shared" ref="F195:F258" si="14">K195*L195</f>
        <v>7.8688524590163933</v>
      </c>
      <c r="G195" s="4">
        <f t="shared" ref="G195:G258" si="15">F195-E195</f>
        <v>1.5934426229508194</v>
      </c>
      <c r="H195" s="2" t="s">
        <v>26</v>
      </c>
      <c r="I195" s="2" t="s">
        <v>27</v>
      </c>
      <c r="J195" s="4">
        <v>0.5229508196721312</v>
      </c>
      <c r="K195" s="4">
        <v>0.65573770491803274</v>
      </c>
      <c r="L195" s="4">
        <v>12</v>
      </c>
      <c r="M195" s="2" t="s">
        <v>134</v>
      </c>
      <c r="N195" s="2" t="s">
        <v>29</v>
      </c>
      <c r="O195" s="2" t="s">
        <v>30</v>
      </c>
      <c r="P195" s="2" t="s">
        <v>31</v>
      </c>
      <c r="Q195" s="2" t="s">
        <v>135</v>
      </c>
      <c r="R195" s="2" t="s">
        <v>116</v>
      </c>
      <c r="T195" s="2" t="s">
        <v>117</v>
      </c>
      <c r="U195" s="2" t="s">
        <v>138</v>
      </c>
      <c r="W195" s="2" t="s">
        <v>118</v>
      </c>
    </row>
    <row r="196" spans="1:23" x14ac:dyDescent="0.3">
      <c r="A196" s="2" t="s">
        <v>130</v>
      </c>
      <c r="B196" s="2" t="s">
        <v>137</v>
      </c>
      <c r="C196" s="2" t="s">
        <v>25</v>
      </c>
      <c r="D196" s="3">
        <f t="shared" si="12"/>
        <v>0.25391849529780558</v>
      </c>
      <c r="E196" s="4">
        <f t="shared" si="13"/>
        <v>6.2754098360655739</v>
      </c>
      <c r="F196" s="4">
        <f t="shared" si="14"/>
        <v>7.8688524590163933</v>
      </c>
      <c r="G196" s="4">
        <f t="shared" si="15"/>
        <v>1.5934426229508194</v>
      </c>
      <c r="H196" s="2" t="s">
        <v>26</v>
      </c>
      <c r="I196" s="2" t="s">
        <v>27</v>
      </c>
      <c r="J196" s="4">
        <v>0.5229508196721312</v>
      </c>
      <c r="K196" s="4">
        <v>0.65573770491803274</v>
      </c>
      <c r="L196" s="4">
        <v>12</v>
      </c>
      <c r="M196" s="2" t="s">
        <v>134</v>
      </c>
      <c r="N196" s="2" t="s">
        <v>29</v>
      </c>
      <c r="O196" s="2" t="s">
        <v>160</v>
      </c>
      <c r="P196" s="2" t="s">
        <v>161</v>
      </c>
      <c r="Q196" s="2" t="s">
        <v>135</v>
      </c>
      <c r="R196" s="2" t="s">
        <v>176</v>
      </c>
      <c r="T196" s="2" t="s">
        <v>177</v>
      </c>
      <c r="U196" s="2" t="s">
        <v>138</v>
      </c>
      <c r="W196" s="2" t="s">
        <v>179</v>
      </c>
    </row>
    <row r="197" spans="1:23" x14ac:dyDescent="0.3">
      <c r="A197" s="2" t="s">
        <v>23</v>
      </c>
      <c r="B197" s="2" t="s">
        <v>61</v>
      </c>
      <c r="C197" s="2" t="s">
        <v>25</v>
      </c>
      <c r="D197" s="3">
        <f t="shared" si="12"/>
        <v>0.33824021411843425</v>
      </c>
      <c r="E197" s="4">
        <f t="shared" si="13"/>
        <v>5.88</v>
      </c>
      <c r="F197" s="4">
        <f t="shared" si="14"/>
        <v>7.8688524590163933</v>
      </c>
      <c r="G197" s="4">
        <f t="shared" si="15"/>
        <v>1.9888524590163934</v>
      </c>
      <c r="H197" s="2" t="s">
        <v>26</v>
      </c>
      <c r="I197" s="2" t="s">
        <v>27</v>
      </c>
      <c r="J197" s="4">
        <v>0.49</v>
      </c>
      <c r="K197" s="4">
        <v>0.65573770491803274</v>
      </c>
      <c r="L197" s="4">
        <v>12</v>
      </c>
      <c r="M197" s="2" t="s">
        <v>62</v>
      </c>
      <c r="N197" s="2" t="s">
        <v>29</v>
      </c>
      <c r="O197" s="2" t="s">
        <v>30</v>
      </c>
      <c r="P197" s="2" t="s">
        <v>31</v>
      </c>
      <c r="Q197" s="2" t="s">
        <v>63</v>
      </c>
      <c r="R197" s="2" t="s">
        <v>50</v>
      </c>
      <c r="T197" s="2" t="s">
        <v>51</v>
      </c>
      <c r="U197" s="2" t="s">
        <v>64</v>
      </c>
      <c r="W197" s="2" t="s">
        <v>53</v>
      </c>
    </row>
    <row r="198" spans="1:23" x14ac:dyDescent="0.3">
      <c r="A198" s="2" t="s">
        <v>23</v>
      </c>
      <c r="B198" s="2" t="s">
        <v>61</v>
      </c>
      <c r="C198" s="2" t="s">
        <v>25</v>
      </c>
      <c r="D198" s="3">
        <f t="shared" si="12"/>
        <v>0.33824021411843425</v>
      </c>
      <c r="E198" s="4">
        <f t="shared" si="13"/>
        <v>2.94</v>
      </c>
      <c r="F198" s="4">
        <f t="shared" si="14"/>
        <v>3.9344262295081966</v>
      </c>
      <c r="G198" s="4">
        <f t="shared" si="15"/>
        <v>0.9944262295081967</v>
      </c>
      <c r="H198" s="2" t="s">
        <v>26</v>
      </c>
      <c r="I198" s="2" t="s">
        <v>27</v>
      </c>
      <c r="J198" s="4">
        <v>0.49</v>
      </c>
      <c r="K198" s="4">
        <v>0.65573770491803274</v>
      </c>
      <c r="L198" s="4">
        <v>6</v>
      </c>
      <c r="M198" s="2" t="s">
        <v>62</v>
      </c>
      <c r="N198" s="2" t="s">
        <v>29</v>
      </c>
      <c r="O198" s="2" t="s">
        <v>30</v>
      </c>
      <c r="P198" s="2" t="s">
        <v>31</v>
      </c>
      <c r="Q198" s="2" t="s">
        <v>63</v>
      </c>
      <c r="R198" s="2" t="s">
        <v>33</v>
      </c>
      <c r="T198" s="2" t="s">
        <v>34</v>
      </c>
      <c r="U198" s="2" t="s">
        <v>64</v>
      </c>
      <c r="W198" s="2" t="s">
        <v>36</v>
      </c>
    </row>
    <row r="199" spans="1:23" x14ac:dyDescent="0.3">
      <c r="A199" s="2" t="s">
        <v>685</v>
      </c>
      <c r="B199" s="2" t="s">
        <v>686</v>
      </c>
      <c r="C199" s="2" t="s">
        <v>25</v>
      </c>
      <c r="D199" s="3">
        <f t="shared" si="12"/>
        <v>0.14754098360655732</v>
      </c>
      <c r="E199" s="4">
        <f t="shared" si="13"/>
        <v>2</v>
      </c>
      <c r="F199" s="4">
        <f t="shared" si="14"/>
        <v>2.2950819672131146</v>
      </c>
      <c r="G199" s="4">
        <f t="shared" si="15"/>
        <v>0.29508196721311464</v>
      </c>
      <c r="H199" s="2" t="s">
        <v>26</v>
      </c>
      <c r="I199" s="2" t="s">
        <v>27</v>
      </c>
      <c r="J199" s="4">
        <v>0.5</v>
      </c>
      <c r="K199" s="4">
        <v>0.57377049180327866</v>
      </c>
      <c r="L199" s="4">
        <v>4</v>
      </c>
      <c r="M199" s="2" t="s">
        <v>687</v>
      </c>
      <c r="N199" s="2" t="s">
        <v>29</v>
      </c>
      <c r="O199" s="2" t="s">
        <v>675</v>
      </c>
      <c r="P199" s="2" t="s">
        <v>676</v>
      </c>
      <c r="Q199" s="2" t="s">
        <v>688</v>
      </c>
      <c r="R199" s="2" t="s">
        <v>681</v>
      </c>
      <c r="T199" s="2" t="s">
        <v>682</v>
      </c>
      <c r="U199" s="2" t="s">
        <v>689</v>
      </c>
      <c r="W199" s="2" t="s">
        <v>684</v>
      </c>
    </row>
    <row r="200" spans="1:23" x14ac:dyDescent="0.3">
      <c r="A200" s="2" t="s">
        <v>685</v>
      </c>
      <c r="B200" s="2" t="s">
        <v>686</v>
      </c>
      <c r="C200" s="2" t="s">
        <v>25</v>
      </c>
      <c r="D200" s="3">
        <f t="shared" si="12"/>
        <v>0.14754098360655732</v>
      </c>
      <c r="E200" s="4">
        <f t="shared" si="13"/>
        <v>10</v>
      </c>
      <c r="F200" s="4">
        <f t="shared" si="14"/>
        <v>11.475409836065573</v>
      </c>
      <c r="G200" s="4">
        <f t="shared" si="15"/>
        <v>1.4754098360655732</v>
      </c>
      <c r="H200" s="2" t="s">
        <v>26</v>
      </c>
      <c r="I200" s="2" t="s">
        <v>27</v>
      </c>
      <c r="J200" s="4">
        <v>0.5</v>
      </c>
      <c r="K200" s="4">
        <v>0.57377049180327866</v>
      </c>
      <c r="L200" s="4">
        <v>20</v>
      </c>
      <c r="M200" s="2" t="s">
        <v>690</v>
      </c>
      <c r="N200" s="2" t="s">
        <v>29</v>
      </c>
      <c r="O200" s="2" t="s">
        <v>675</v>
      </c>
      <c r="P200" s="2" t="s">
        <v>676</v>
      </c>
      <c r="Q200" s="2" t="s">
        <v>691</v>
      </c>
      <c r="R200" s="2" t="s">
        <v>681</v>
      </c>
      <c r="T200" s="2" t="s">
        <v>682</v>
      </c>
      <c r="U200" s="2" t="s">
        <v>689</v>
      </c>
      <c r="W200" s="2" t="s">
        <v>684</v>
      </c>
    </row>
    <row r="201" spans="1:23" x14ac:dyDescent="0.3">
      <c r="A201" s="2" t="s">
        <v>685</v>
      </c>
      <c r="B201" s="2" t="s">
        <v>686</v>
      </c>
      <c r="C201" s="2" t="s">
        <v>25</v>
      </c>
      <c r="D201" s="3">
        <f t="shared" si="12"/>
        <v>0.14754098360655732</v>
      </c>
      <c r="E201" s="4">
        <f t="shared" si="13"/>
        <v>5</v>
      </c>
      <c r="F201" s="4">
        <f t="shared" si="14"/>
        <v>5.7377049180327866</v>
      </c>
      <c r="G201" s="4">
        <f t="shared" si="15"/>
        <v>0.73770491803278659</v>
      </c>
      <c r="H201" s="2" t="s">
        <v>26</v>
      </c>
      <c r="I201" s="2" t="s">
        <v>27</v>
      </c>
      <c r="J201" s="4">
        <v>0.5</v>
      </c>
      <c r="K201" s="4">
        <v>0.57377049180327866</v>
      </c>
      <c r="L201" s="4">
        <v>10</v>
      </c>
      <c r="M201" s="2" t="s">
        <v>690</v>
      </c>
      <c r="N201" s="2" t="s">
        <v>29</v>
      </c>
      <c r="O201" s="2" t="s">
        <v>675</v>
      </c>
      <c r="P201" s="2" t="s">
        <v>676</v>
      </c>
      <c r="Q201" s="2" t="s">
        <v>691</v>
      </c>
      <c r="R201" s="2" t="s">
        <v>677</v>
      </c>
      <c r="T201" s="2" t="s">
        <v>678</v>
      </c>
      <c r="U201" s="2" t="s">
        <v>689</v>
      </c>
      <c r="W201" s="2" t="s">
        <v>679</v>
      </c>
    </row>
    <row r="202" spans="1:23" ht="20.399999999999999" x14ac:dyDescent="0.3">
      <c r="A202" s="2" t="s">
        <v>647</v>
      </c>
      <c r="B202" s="2" t="s">
        <v>657</v>
      </c>
      <c r="C202" s="2" t="s">
        <v>25</v>
      </c>
      <c r="D202" s="3">
        <f t="shared" si="12"/>
        <v>0.1953551912568306</v>
      </c>
      <c r="E202" s="4">
        <f t="shared" si="13"/>
        <v>5.76</v>
      </c>
      <c r="F202" s="4">
        <f t="shared" si="14"/>
        <v>6.8852459016393439</v>
      </c>
      <c r="G202" s="4">
        <f t="shared" si="15"/>
        <v>1.1252459016393441</v>
      </c>
      <c r="H202" s="2" t="s">
        <v>26</v>
      </c>
      <c r="I202" s="2" t="s">
        <v>27</v>
      </c>
      <c r="J202" s="4">
        <v>0.48</v>
      </c>
      <c r="K202" s="4">
        <v>0.57377049180327866</v>
      </c>
      <c r="L202" s="4">
        <v>12</v>
      </c>
      <c r="M202" s="2" t="s">
        <v>649</v>
      </c>
      <c r="N202" s="2" t="s">
        <v>29</v>
      </c>
      <c r="O202" s="2" t="s">
        <v>650</v>
      </c>
      <c r="P202" s="2" t="s">
        <v>651</v>
      </c>
      <c r="Q202" s="2" t="s">
        <v>652</v>
      </c>
      <c r="R202" s="2" t="s">
        <v>653</v>
      </c>
      <c r="T202" s="2" t="s">
        <v>654</v>
      </c>
      <c r="U202" s="2" t="s">
        <v>658</v>
      </c>
      <c r="W202" s="6" t="s">
        <v>656</v>
      </c>
    </row>
    <row r="203" spans="1:23" x14ac:dyDescent="0.3">
      <c r="A203" s="2" t="s">
        <v>130</v>
      </c>
      <c r="B203" s="2" t="s">
        <v>148</v>
      </c>
      <c r="C203" s="2" t="s">
        <v>25</v>
      </c>
      <c r="D203" s="3">
        <f t="shared" si="12"/>
        <v>0.17073170731707327</v>
      </c>
      <c r="E203" s="4">
        <f t="shared" si="13"/>
        <v>4.2008196721311473</v>
      </c>
      <c r="F203" s="4">
        <f t="shared" si="14"/>
        <v>4.918032786885246</v>
      </c>
      <c r="G203" s="4">
        <f t="shared" si="15"/>
        <v>0.71721311475409877</v>
      </c>
      <c r="H203" s="2" t="s">
        <v>26</v>
      </c>
      <c r="I203" s="2" t="s">
        <v>27</v>
      </c>
      <c r="J203" s="4">
        <v>0.42008196721311475</v>
      </c>
      <c r="K203" s="4">
        <v>0.49180327868852458</v>
      </c>
      <c r="L203" s="4">
        <v>10</v>
      </c>
      <c r="M203" s="2" t="s">
        <v>134</v>
      </c>
      <c r="N203" s="2" t="s">
        <v>29</v>
      </c>
      <c r="O203" s="2" t="s">
        <v>30</v>
      </c>
      <c r="P203" s="2" t="s">
        <v>31</v>
      </c>
      <c r="Q203" s="2" t="s">
        <v>135</v>
      </c>
      <c r="R203" s="2" t="s">
        <v>79</v>
      </c>
      <c r="T203" s="2" t="s">
        <v>80</v>
      </c>
      <c r="U203" s="2" t="s">
        <v>149</v>
      </c>
      <c r="W203" s="2" t="s">
        <v>81</v>
      </c>
    </row>
    <row r="204" spans="1:23" x14ac:dyDescent="0.3">
      <c r="A204" s="2" t="s">
        <v>130</v>
      </c>
      <c r="B204" s="2" t="s">
        <v>152</v>
      </c>
      <c r="C204" s="2" t="s">
        <v>25</v>
      </c>
      <c r="D204" s="3">
        <f t="shared" si="12"/>
        <v>0.32500000000000018</v>
      </c>
      <c r="E204" s="4">
        <f t="shared" si="13"/>
        <v>1.6393442622950818</v>
      </c>
      <c r="F204" s="4">
        <f t="shared" si="14"/>
        <v>2.1721311475409837</v>
      </c>
      <c r="G204" s="4">
        <f t="shared" si="15"/>
        <v>0.5327868852459019</v>
      </c>
      <c r="H204" s="2" t="s">
        <v>26</v>
      </c>
      <c r="I204" s="2" t="s">
        <v>27</v>
      </c>
      <c r="J204" s="4">
        <v>0.32786885245901637</v>
      </c>
      <c r="K204" s="4">
        <v>0.4344262295081967</v>
      </c>
      <c r="L204" s="4">
        <v>5</v>
      </c>
      <c r="M204" s="2" t="s">
        <v>134</v>
      </c>
      <c r="N204" s="2" t="s">
        <v>29</v>
      </c>
      <c r="O204" s="2" t="s">
        <v>30</v>
      </c>
      <c r="P204" s="2" t="s">
        <v>31</v>
      </c>
      <c r="Q204" s="2" t="s">
        <v>135</v>
      </c>
      <c r="R204" s="2" t="s">
        <v>50</v>
      </c>
      <c r="T204" s="2" t="s">
        <v>51</v>
      </c>
      <c r="U204" s="2" t="s">
        <v>153</v>
      </c>
      <c r="W204" s="2" t="s">
        <v>53</v>
      </c>
    </row>
    <row r="205" spans="1:23" x14ac:dyDescent="0.3">
      <c r="A205" s="2" t="s">
        <v>305</v>
      </c>
      <c r="B205" s="2" t="s">
        <v>306</v>
      </c>
      <c r="C205" s="2" t="s">
        <v>25</v>
      </c>
      <c r="D205" s="3">
        <f t="shared" si="12"/>
        <v>5.6278519520027215E-2</v>
      </c>
      <c r="E205" s="4">
        <f t="shared" si="13"/>
        <v>3.88</v>
      </c>
      <c r="F205" s="4">
        <f t="shared" si="14"/>
        <v>4.0983606557377055</v>
      </c>
      <c r="G205" s="4">
        <f t="shared" si="15"/>
        <v>0.21836065573770558</v>
      </c>
      <c r="H205" s="2" t="s">
        <v>26</v>
      </c>
      <c r="I205" s="2" t="s">
        <v>27</v>
      </c>
      <c r="J205" s="4">
        <v>0.38800000000000001</v>
      </c>
      <c r="K205" s="4">
        <v>0.4098360655737705</v>
      </c>
      <c r="L205" s="4">
        <v>10</v>
      </c>
      <c r="M205" s="2" t="s">
        <v>55</v>
      </c>
      <c r="N205" s="2" t="s">
        <v>29</v>
      </c>
      <c r="O205" s="2" t="s">
        <v>160</v>
      </c>
      <c r="P205" s="2" t="s">
        <v>161</v>
      </c>
      <c r="Q205" s="2" t="s">
        <v>56</v>
      </c>
      <c r="R205" s="2" t="s">
        <v>301</v>
      </c>
      <c r="T205" s="2" t="s">
        <v>302</v>
      </c>
      <c r="U205" s="2" t="s">
        <v>307</v>
      </c>
      <c r="W205" s="6" t="s">
        <v>304</v>
      </c>
    </row>
    <row r="206" spans="1:23" x14ac:dyDescent="0.3">
      <c r="A206" s="2" t="s">
        <v>357</v>
      </c>
      <c r="B206" s="2" t="s">
        <v>450</v>
      </c>
      <c r="C206" s="2" t="s">
        <v>25</v>
      </c>
      <c r="D206" s="3">
        <f t="shared" si="12"/>
        <v>0.45745400275167319</v>
      </c>
      <c r="E206" s="4">
        <f t="shared" si="13"/>
        <v>13.4976</v>
      </c>
      <c r="F206" s="4">
        <f t="shared" si="14"/>
        <v>19.672131147540984</v>
      </c>
      <c r="G206" s="4">
        <f t="shared" si="15"/>
        <v>6.1745311475409839</v>
      </c>
      <c r="H206" s="2" t="s">
        <v>26</v>
      </c>
      <c r="I206" s="2" t="s">
        <v>27</v>
      </c>
      <c r="J206" s="4">
        <v>0.28120000000000001</v>
      </c>
      <c r="K206" s="4">
        <v>0.4098360655737705</v>
      </c>
      <c r="L206" s="4">
        <v>48</v>
      </c>
      <c r="M206" s="2" t="s">
        <v>451</v>
      </c>
      <c r="N206" s="2" t="s">
        <v>29</v>
      </c>
      <c r="O206" s="2" t="s">
        <v>675</v>
      </c>
      <c r="P206" s="2" t="s">
        <v>676</v>
      </c>
      <c r="Q206" s="2" t="s">
        <v>452</v>
      </c>
      <c r="R206" s="2" t="s">
        <v>681</v>
      </c>
      <c r="T206" s="2" t="s">
        <v>682</v>
      </c>
      <c r="U206" s="2" t="s">
        <v>453</v>
      </c>
      <c r="W206" s="2" t="s">
        <v>684</v>
      </c>
    </row>
    <row r="207" spans="1:23" x14ac:dyDescent="0.3">
      <c r="A207" s="2" t="s">
        <v>357</v>
      </c>
      <c r="B207" s="2" t="s">
        <v>450</v>
      </c>
      <c r="C207" s="2" t="s">
        <v>25</v>
      </c>
      <c r="D207" s="3">
        <f t="shared" si="12"/>
        <v>0.45745400275167319</v>
      </c>
      <c r="E207" s="4">
        <f t="shared" si="13"/>
        <v>3.3744000000000001</v>
      </c>
      <c r="F207" s="4">
        <f t="shared" si="14"/>
        <v>4.918032786885246</v>
      </c>
      <c r="G207" s="4">
        <f t="shared" si="15"/>
        <v>1.543632786885246</v>
      </c>
      <c r="H207" s="2" t="s">
        <v>26</v>
      </c>
      <c r="I207" s="2" t="s">
        <v>27</v>
      </c>
      <c r="J207" s="4">
        <v>0.28120000000000001</v>
      </c>
      <c r="K207" s="4">
        <v>0.4098360655737705</v>
      </c>
      <c r="L207" s="4">
        <v>12</v>
      </c>
      <c r="M207" s="2" t="s">
        <v>451</v>
      </c>
      <c r="N207" s="2" t="s">
        <v>29</v>
      </c>
      <c r="O207" s="2" t="s">
        <v>675</v>
      </c>
      <c r="P207" s="2" t="s">
        <v>676</v>
      </c>
      <c r="Q207" s="2" t="s">
        <v>452</v>
      </c>
      <c r="R207" s="2" t="s">
        <v>697</v>
      </c>
      <c r="T207" s="2" t="s">
        <v>698</v>
      </c>
      <c r="U207" s="2" t="s">
        <v>453</v>
      </c>
      <c r="W207" s="2" t="s">
        <v>700</v>
      </c>
    </row>
    <row r="208" spans="1:23" x14ac:dyDescent="0.3">
      <c r="A208" s="2" t="s">
        <v>305</v>
      </c>
      <c r="B208" s="2" t="s">
        <v>475</v>
      </c>
      <c r="C208" s="2" t="s">
        <v>25</v>
      </c>
      <c r="D208" s="3">
        <f t="shared" si="12"/>
        <v>0.10837887067395267</v>
      </c>
      <c r="E208" s="4">
        <f t="shared" si="13"/>
        <v>0.35099999999999998</v>
      </c>
      <c r="F208" s="4">
        <f t="shared" si="14"/>
        <v>0.38904098360655737</v>
      </c>
      <c r="G208" s="4">
        <f t="shared" si="15"/>
        <v>3.8040983606557388E-2</v>
      </c>
      <c r="H208" s="2" t="s">
        <v>26</v>
      </c>
      <c r="I208" s="2" t="s">
        <v>27</v>
      </c>
      <c r="J208" s="4">
        <v>0.35099999999999998</v>
      </c>
      <c r="K208" s="4">
        <v>0.38904098360655737</v>
      </c>
      <c r="L208" s="4">
        <v>1</v>
      </c>
      <c r="M208" s="2" t="s">
        <v>55</v>
      </c>
      <c r="N208" s="2" t="s">
        <v>29</v>
      </c>
      <c r="O208" s="2" t="s">
        <v>554</v>
      </c>
      <c r="P208" s="2" t="s">
        <v>63</v>
      </c>
      <c r="Q208" s="2" t="s">
        <v>56</v>
      </c>
      <c r="R208" s="2" t="s">
        <v>555</v>
      </c>
      <c r="T208" s="2" t="s">
        <v>556</v>
      </c>
      <c r="U208" s="2" t="s">
        <v>476</v>
      </c>
      <c r="W208" s="2" t="s">
        <v>557</v>
      </c>
    </row>
    <row r="209" spans="1:23" x14ac:dyDescent="0.3">
      <c r="A209" s="2" t="s">
        <v>212</v>
      </c>
      <c r="B209" s="2" t="s">
        <v>732</v>
      </c>
      <c r="C209" s="2" t="s">
        <v>25</v>
      </c>
      <c r="D209" s="3">
        <f t="shared" si="12"/>
        <v>0.18317291480563419</v>
      </c>
      <c r="E209" s="4">
        <f t="shared" si="13"/>
        <v>3.3253180327868854</v>
      </c>
      <c r="F209" s="4">
        <f t="shared" si="14"/>
        <v>3.9344262295081966</v>
      </c>
      <c r="G209" s="4">
        <f t="shared" si="15"/>
        <v>0.60910819672131122</v>
      </c>
      <c r="H209" s="2" t="s">
        <v>26</v>
      </c>
      <c r="I209" s="2" t="s">
        <v>27</v>
      </c>
      <c r="J209" s="4">
        <v>0.27710983606557377</v>
      </c>
      <c r="K209" s="4">
        <v>0.32786885245901637</v>
      </c>
      <c r="L209" s="4">
        <v>12</v>
      </c>
      <c r="M209" s="2" t="s">
        <v>733</v>
      </c>
      <c r="N209" s="2" t="s">
        <v>29</v>
      </c>
      <c r="O209" s="2" t="s">
        <v>717</v>
      </c>
      <c r="P209" s="2" t="s">
        <v>718</v>
      </c>
      <c r="Q209" s="2" t="s">
        <v>734</v>
      </c>
      <c r="R209" s="2" t="s">
        <v>729</v>
      </c>
      <c r="T209" s="2" t="s">
        <v>730</v>
      </c>
      <c r="U209" s="2" t="s">
        <v>735</v>
      </c>
      <c r="W209" s="2" t="s">
        <v>505</v>
      </c>
    </row>
    <row r="210" spans="1:23" x14ac:dyDescent="0.3">
      <c r="A210" s="2" t="s">
        <v>647</v>
      </c>
      <c r="B210" s="2" t="s">
        <v>648</v>
      </c>
      <c r="C210" s="2" t="s">
        <v>25</v>
      </c>
      <c r="D210" s="3">
        <f t="shared" si="12"/>
        <v>7.8515962036238007E-2</v>
      </c>
      <c r="E210" s="4">
        <f t="shared" si="13"/>
        <v>3.04</v>
      </c>
      <c r="F210" s="4">
        <f t="shared" si="14"/>
        <v>3.2786885245901636</v>
      </c>
      <c r="G210" s="4">
        <f t="shared" si="15"/>
        <v>0.23868852459016354</v>
      </c>
      <c r="H210" s="2" t="s">
        <v>26</v>
      </c>
      <c r="I210" s="2" t="s">
        <v>27</v>
      </c>
      <c r="J210" s="4">
        <v>0.30399999999999999</v>
      </c>
      <c r="K210" s="4">
        <v>0.32786885245901637</v>
      </c>
      <c r="L210" s="4">
        <v>10</v>
      </c>
      <c r="M210" s="2" t="s">
        <v>649</v>
      </c>
      <c r="N210" s="2" t="s">
        <v>29</v>
      </c>
      <c r="O210" s="2" t="s">
        <v>650</v>
      </c>
      <c r="P210" s="2" t="s">
        <v>651</v>
      </c>
      <c r="Q210" s="2" t="s">
        <v>652</v>
      </c>
      <c r="R210" s="2" t="s">
        <v>653</v>
      </c>
      <c r="T210" s="2" t="s">
        <v>654</v>
      </c>
      <c r="U210" s="2" t="s">
        <v>655</v>
      </c>
      <c r="W210" s="2" t="s">
        <v>656</v>
      </c>
    </row>
    <row r="211" spans="1:23" x14ac:dyDescent="0.3">
      <c r="A211" s="2" t="s">
        <v>305</v>
      </c>
      <c r="B211" s="2" t="s">
        <v>662</v>
      </c>
      <c r="C211" s="2" t="s">
        <v>25</v>
      </c>
      <c r="D211" s="3">
        <f t="shared" si="12"/>
        <v>0.1076650420912716</v>
      </c>
      <c r="E211" s="4">
        <f t="shared" si="13"/>
        <v>15.984</v>
      </c>
      <c r="F211" s="4">
        <f t="shared" si="14"/>
        <v>17.704918032786885</v>
      </c>
      <c r="G211" s="4">
        <f t="shared" si="15"/>
        <v>1.7209180327868854</v>
      </c>
      <c r="H211" s="2" t="s">
        <v>26</v>
      </c>
      <c r="I211" s="2" t="s">
        <v>27</v>
      </c>
      <c r="J211" s="4">
        <v>0.222</v>
      </c>
      <c r="K211" s="4">
        <v>0.24590163934426229</v>
      </c>
      <c r="L211" s="4">
        <v>72</v>
      </c>
      <c r="M211" s="2" t="s">
        <v>663</v>
      </c>
      <c r="N211" s="2" t="s">
        <v>29</v>
      </c>
      <c r="O211" s="2" t="s">
        <v>664</v>
      </c>
      <c r="P211" s="2" t="s">
        <v>655</v>
      </c>
      <c r="Q211" s="2" t="s">
        <v>665</v>
      </c>
      <c r="R211" s="2" t="s">
        <v>666</v>
      </c>
      <c r="T211" s="2" t="s">
        <v>667</v>
      </c>
      <c r="U211" s="2" t="s">
        <v>668</v>
      </c>
      <c r="W211" s="6" t="s">
        <v>669</v>
      </c>
    </row>
    <row r="212" spans="1:23" x14ac:dyDescent="0.3">
      <c r="A212" s="2" t="s">
        <v>357</v>
      </c>
      <c r="B212" s="2" t="s">
        <v>568</v>
      </c>
      <c r="C212" s="2" t="s">
        <v>25</v>
      </c>
      <c r="D212" s="3">
        <f t="shared" si="12"/>
        <v>0.12359324236517229</v>
      </c>
      <c r="E212" s="4">
        <f t="shared" si="13"/>
        <v>153.9</v>
      </c>
      <c r="F212" s="4">
        <f t="shared" si="14"/>
        <v>172.92100000000002</v>
      </c>
      <c r="G212" s="4">
        <f t="shared" si="15"/>
        <v>19.021000000000015</v>
      </c>
      <c r="H212" s="2" t="s">
        <v>26</v>
      </c>
      <c r="I212" s="2" t="s">
        <v>27</v>
      </c>
      <c r="J212" s="4">
        <v>15.39</v>
      </c>
      <c r="K212" s="4">
        <v>17.292100000000001</v>
      </c>
      <c r="L212" s="4">
        <v>10</v>
      </c>
      <c r="M212" s="2" t="s">
        <v>243</v>
      </c>
      <c r="N212" s="2" t="s">
        <v>29</v>
      </c>
      <c r="O212" s="2" t="s">
        <v>554</v>
      </c>
      <c r="P212" s="2" t="s">
        <v>63</v>
      </c>
      <c r="Q212" s="2" t="s">
        <v>244</v>
      </c>
      <c r="R212" s="2" t="s">
        <v>563</v>
      </c>
      <c r="T212" s="2" t="s">
        <v>564</v>
      </c>
      <c r="U212" s="2" t="s">
        <v>569</v>
      </c>
      <c r="W212" s="2" t="s">
        <v>565</v>
      </c>
    </row>
    <row r="213" spans="1:23" x14ac:dyDescent="0.3">
      <c r="A213" s="2" t="s">
        <v>357</v>
      </c>
      <c r="B213" s="2" t="s">
        <v>570</v>
      </c>
      <c r="C213" s="2" t="s">
        <v>25</v>
      </c>
      <c r="D213" s="3">
        <f t="shared" si="12"/>
        <v>2.5761754220757271E-2</v>
      </c>
      <c r="E213" s="4">
        <f t="shared" si="13"/>
        <v>148.67000000000002</v>
      </c>
      <c r="F213" s="4">
        <f t="shared" si="14"/>
        <v>152.5</v>
      </c>
      <c r="G213" s="4">
        <f t="shared" si="15"/>
        <v>3.8299999999999841</v>
      </c>
      <c r="H213" s="2" t="s">
        <v>26</v>
      </c>
      <c r="I213" s="2" t="s">
        <v>27</v>
      </c>
      <c r="J213" s="4">
        <v>14.867000000000001</v>
      </c>
      <c r="K213" s="4">
        <v>15.25</v>
      </c>
      <c r="L213" s="4">
        <v>10</v>
      </c>
      <c r="M213" s="2" t="s">
        <v>243</v>
      </c>
      <c r="N213" s="2" t="s">
        <v>29</v>
      </c>
      <c r="O213" s="2" t="s">
        <v>554</v>
      </c>
      <c r="P213" s="2" t="s">
        <v>63</v>
      </c>
      <c r="Q213" s="2" t="s">
        <v>244</v>
      </c>
      <c r="R213" s="2" t="s">
        <v>563</v>
      </c>
      <c r="T213" s="2" t="s">
        <v>564</v>
      </c>
      <c r="U213" s="2" t="s">
        <v>571</v>
      </c>
      <c r="W213" s="2" t="s">
        <v>565</v>
      </c>
    </row>
    <row r="214" spans="1:23" x14ac:dyDescent="0.3">
      <c r="A214" s="2" t="s">
        <v>357</v>
      </c>
      <c r="B214" s="2" t="s">
        <v>566</v>
      </c>
      <c r="C214" s="2" t="s">
        <v>25</v>
      </c>
      <c r="D214" s="3">
        <f t="shared" si="12"/>
        <v>0.18408880666049948</v>
      </c>
      <c r="E214" s="4">
        <f t="shared" si="13"/>
        <v>97.29</v>
      </c>
      <c r="F214" s="4">
        <f t="shared" si="14"/>
        <v>115.2</v>
      </c>
      <c r="G214" s="4">
        <f t="shared" si="15"/>
        <v>17.909999999999997</v>
      </c>
      <c r="H214" s="2" t="s">
        <v>26</v>
      </c>
      <c r="I214" s="2" t="s">
        <v>27</v>
      </c>
      <c r="J214" s="4">
        <v>10.81</v>
      </c>
      <c r="K214" s="4">
        <v>12.8</v>
      </c>
      <c r="L214" s="4">
        <v>9</v>
      </c>
      <c r="M214" s="2" t="s">
        <v>55</v>
      </c>
      <c r="N214" s="2" t="s">
        <v>29</v>
      </c>
      <c r="O214" s="2" t="s">
        <v>554</v>
      </c>
      <c r="P214" s="2" t="s">
        <v>63</v>
      </c>
      <c r="Q214" s="2" t="s">
        <v>56</v>
      </c>
      <c r="R214" s="2" t="s">
        <v>563</v>
      </c>
      <c r="T214" s="2" t="s">
        <v>564</v>
      </c>
      <c r="U214" s="2" t="s">
        <v>567</v>
      </c>
      <c r="W214" s="2" t="s">
        <v>565</v>
      </c>
    </row>
    <row r="215" spans="1:23" x14ac:dyDescent="0.3">
      <c r="A215" s="2" t="s">
        <v>357</v>
      </c>
      <c r="B215" s="2" t="s">
        <v>566</v>
      </c>
      <c r="C215" s="2" t="s">
        <v>25</v>
      </c>
      <c r="D215" s="3">
        <f t="shared" si="12"/>
        <v>0.18408880666049954</v>
      </c>
      <c r="E215" s="4">
        <f t="shared" si="13"/>
        <v>10.81</v>
      </c>
      <c r="F215" s="4">
        <f t="shared" si="14"/>
        <v>12.8</v>
      </c>
      <c r="G215" s="4">
        <f t="shared" si="15"/>
        <v>1.9900000000000002</v>
      </c>
      <c r="H215" s="2" t="s">
        <v>26</v>
      </c>
      <c r="I215" s="2" t="s">
        <v>27</v>
      </c>
      <c r="J215" s="4">
        <v>10.81</v>
      </c>
      <c r="K215" s="4">
        <v>12.8</v>
      </c>
      <c r="L215" s="4">
        <v>1</v>
      </c>
      <c r="M215" s="2" t="s">
        <v>255</v>
      </c>
      <c r="N215" s="2" t="s">
        <v>29</v>
      </c>
      <c r="O215" s="2" t="s">
        <v>554</v>
      </c>
      <c r="P215" s="2" t="s">
        <v>63</v>
      </c>
      <c r="Q215" s="2" t="s">
        <v>256</v>
      </c>
      <c r="R215" s="2" t="s">
        <v>563</v>
      </c>
      <c r="T215" s="2" t="s">
        <v>564</v>
      </c>
      <c r="U215" s="2" t="s">
        <v>567</v>
      </c>
      <c r="W215" s="2" t="s">
        <v>565</v>
      </c>
    </row>
    <row r="216" spans="1:23" x14ac:dyDescent="0.3">
      <c r="A216" s="2" t="s">
        <v>130</v>
      </c>
      <c r="B216" s="2" t="s">
        <v>460</v>
      </c>
      <c r="C216" s="2" t="s">
        <v>25</v>
      </c>
      <c r="D216" s="3">
        <f t="shared" si="12"/>
        <v>0.18131302127659571</v>
      </c>
      <c r="E216" s="4">
        <f t="shared" si="13"/>
        <v>9.6311475409836067</v>
      </c>
      <c r="F216" s="4">
        <f t="shared" si="14"/>
        <v>11.3774</v>
      </c>
      <c r="G216" s="4">
        <f t="shared" si="15"/>
        <v>1.746252459016393</v>
      </c>
      <c r="H216" s="2" t="s">
        <v>26</v>
      </c>
      <c r="I216" s="2" t="s">
        <v>27</v>
      </c>
      <c r="J216" s="4">
        <v>9.6311475409836067</v>
      </c>
      <c r="K216" s="4">
        <v>11.3774</v>
      </c>
      <c r="L216" s="4">
        <v>1</v>
      </c>
      <c r="M216" s="2" t="s">
        <v>134</v>
      </c>
      <c r="N216" s="2" t="s">
        <v>29</v>
      </c>
      <c r="O216" s="2" t="s">
        <v>349</v>
      </c>
      <c r="P216" s="2" t="s">
        <v>350</v>
      </c>
      <c r="Q216" s="2" t="s">
        <v>135</v>
      </c>
      <c r="R216" s="2" t="s">
        <v>351</v>
      </c>
      <c r="T216" s="2" t="s">
        <v>352</v>
      </c>
      <c r="U216" s="2" t="s">
        <v>461</v>
      </c>
      <c r="W216" s="2" t="s">
        <v>353</v>
      </c>
    </row>
    <row r="217" spans="1:23" x14ac:dyDescent="0.3">
      <c r="A217" s="2" t="s">
        <v>249</v>
      </c>
      <c r="B217" s="2" t="s">
        <v>413</v>
      </c>
      <c r="C217" s="2" t="s">
        <v>25</v>
      </c>
      <c r="D217" s="3">
        <f t="shared" si="12"/>
        <v>9.9221789883268616E-2</v>
      </c>
      <c r="E217" s="4">
        <f t="shared" si="13"/>
        <v>10.28</v>
      </c>
      <c r="F217" s="4">
        <f t="shared" si="14"/>
        <v>11.3</v>
      </c>
      <c r="G217" s="4">
        <f t="shared" si="15"/>
        <v>1.0200000000000014</v>
      </c>
      <c r="H217" s="2" t="s">
        <v>26</v>
      </c>
      <c r="I217" s="2" t="s">
        <v>27</v>
      </c>
      <c r="J217" s="4">
        <v>10.28</v>
      </c>
      <c r="K217" s="4">
        <v>11.3</v>
      </c>
      <c r="L217" s="4">
        <v>1</v>
      </c>
      <c r="M217" s="2" t="s">
        <v>414</v>
      </c>
      <c r="N217" s="2" t="s">
        <v>29</v>
      </c>
      <c r="O217" s="2" t="s">
        <v>349</v>
      </c>
      <c r="P217" s="2" t="s">
        <v>350</v>
      </c>
      <c r="Q217" s="2" t="s">
        <v>161</v>
      </c>
      <c r="R217" s="2" t="s">
        <v>351</v>
      </c>
      <c r="T217" s="2" t="s">
        <v>352</v>
      </c>
      <c r="U217" s="2" t="s">
        <v>415</v>
      </c>
      <c r="W217" s="2" t="s">
        <v>353</v>
      </c>
    </row>
    <row r="218" spans="1:23" x14ac:dyDescent="0.3">
      <c r="A218" s="2" t="s">
        <v>357</v>
      </c>
      <c r="B218" s="2" t="s">
        <v>587</v>
      </c>
      <c r="C218" s="2" t="s">
        <v>25</v>
      </c>
      <c r="D218" s="3">
        <f t="shared" si="12"/>
        <v>0.12452913804564597</v>
      </c>
      <c r="E218" s="4">
        <f t="shared" si="13"/>
        <v>72.207999999999998</v>
      </c>
      <c r="F218" s="4">
        <f t="shared" si="14"/>
        <v>81.2</v>
      </c>
      <c r="G218" s="4">
        <f t="shared" si="15"/>
        <v>8.9920000000000044</v>
      </c>
      <c r="H218" s="2" t="s">
        <v>26</v>
      </c>
      <c r="I218" s="2" t="s">
        <v>27</v>
      </c>
      <c r="J218" s="4">
        <v>9.0259999999999998</v>
      </c>
      <c r="K218" s="4">
        <v>10.15</v>
      </c>
      <c r="L218" s="4">
        <v>8</v>
      </c>
      <c r="M218" s="2" t="s">
        <v>55</v>
      </c>
      <c r="N218" s="2" t="s">
        <v>29</v>
      </c>
      <c r="O218" s="2" t="s">
        <v>554</v>
      </c>
      <c r="P218" s="2" t="s">
        <v>63</v>
      </c>
      <c r="Q218" s="2" t="s">
        <v>56</v>
      </c>
      <c r="R218" s="2" t="s">
        <v>563</v>
      </c>
      <c r="T218" s="2" t="s">
        <v>564</v>
      </c>
      <c r="U218" s="2" t="s">
        <v>588</v>
      </c>
      <c r="W218" s="2" t="s">
        <v>565</v>
      </c>
    </row>
    <row r="219" spans="1:23" x14ac:dyDescent="0.3">
      <c r="A219" s="2" t="s">
        <v>357</v>
      </c>
      <c r="B219" s="2" t="s">
        <v>583</v>
      </c>
      <c r="C219" s="2" t="s">
        <v>25</v>
      </c>
      <c r="D219" s="3">
        <f t="shared" si="12"/>
        <v>7.7658037995778237E-2</v>
      </c>
      <c r="E219" s="4">
        <f t="shared" si="13"/>
        <v>36.003999999999998</v>
      </c>
      <c r="F219" s="4">
        <f t="shared" si="14"/>
        <v>38.799999999999997</v>
      </c>
      <c r="G219" s="4">
        <f t="shared" si="15"/>
        <v>2.7959999999999994</v>
      </c>
      <c r="H219" s="2" t="s">
        <v>26</v>
      </c>
      <c r="I219" s="2" t="s">
        <v>27</v>
      </c>
      <c r="J219" s="4">
        <v>9.0009999999999994</v>
      </c>
      <c r="K219" s="4">
        <v>9.6999999999999993</v>
      </c>
      <c r="L219" s="4">
        <v>4</v>
      </c>
      <c r="M219" s="2" t="s">
        <v>55</v>
      </c>
      <c r="N219" s="2" t="s">
        <v>29</v>
      </c>
      <c r="O219" s="2" t="s">
        <v>554</v>
      </c>
      <c r="P219" s="2" t="s">
        <v>63</v>
      </c>
      <c r="Q219" s="2" t="s">
        <v>56</v>
      </c>
      <c r="R219" s="2" t="s">
        <v>563</v>
      </c>
      <c r="T219" s="2" t="s">
        <v>564</v>
      </c>
      <c r="U219" s="2" t="s">
        <v>584</v>
      </c>
      <c r="W219" s="2" t="s">
        <v>565</v>
      </c>
    </row>
    <row r="220" spans="1:23" x14ac:dyDescent="0.3">
      <c r="A220" s="2" t="s">
        <v>357</v>
      </c>
      <c r="B220" s="2" t="s">
        <v>630</v>
      </c>
      <c r="C220" s="2" t="s">
        <v>25</v>
      </c>
      <c r="D220" s="3">
        <f t="shared" si="12"/>
        <v>0.10080183276059557</v>
      </c>
      <c r="E220" s="4">
        <f t="shared" si="13"/>
        <v>96.03</v>
      </c>
      <c r="F220" s="4">
        <f t="shared" si="14"/>
        <v>105.71</v>
      </c>
      <c r="G220" s="4">
        <f t="shared" si="15"/>
        <v>9.6799999999999926</v>
      </c>
      <c r="H220" s="2" t="s">
        <v>26</v>
      </c>
      <c r="I220" s="2" t="s">
        <v>27</v>
      </c>
      <c r="J220" s="4">
        <v>8.73</v>
      </c>
      <c r="K220" s="4">
        <v>9.61</v>
      </c>
      <c r="L220" s="4">
        <v>11</v>
      </c>
      <c r="M220" s="2" t="s">
        <v>401</v>
      </c>
      <c r="N220" s="2" t="s">
        <v>29</v>
      </c>
      <c r="O220" s="2" t="s">
        <v>554</v>
      </c>
      <c r="P220" s="2" t="s">
        <v>63</v>
      </c>
      <c r="Q220" s="2" t="s">
        <v>402</v>
      </c>
      <c r="R220" s="2" t="s">
        <v>563</v>
      </c>
      <c r="T220" s="2" t="s">
        <v>564</v>
      </c>
      <c r="U220" s="2" t="s">
        <v>631</v>
      </c>
      <c r="W220" s="2" t="s">
        <v>565</v>
      </c>
    </row>
    <row r="221" spans="1:23" x14ac:dyDescent="0.3">
      <c r="A221" s="2" t="s">
        <v>357</v>
      </c>
      <c r="B221" s="2" t="s">
        <v>630</v>
      </c>
      <c r="C221" s="2" t="s">
        <v>25</v>
      </c>
      <c r="D221" s="3">
        <f t="shared" si="12"/>
        <v>0.12397660818713443</v>
      </c>
      <c r="E221" s="4">
        <f t="shared" si="13"/>
        <v>42.75</v>
      </c>
      <c r="F221" s="4">
        <f t="shared" si="14"/>
        <v>48.05</v>
      </c>
      <c r="G221" s="4">
        <f t="shared" si="15"/>
        <v>5.2999999999999972</v>
      </c>
      <c r="H221" s="2" t="s">
        <v>26</v>
      </c>
      <c r="I221" s="2" t="s">
        <v>27</v>
      </c>
      <c r="J221" s="4">
        <v>8.5500000000000007</v>
      </c>
      <c r="K221" s="4">
        <v>9.61</v>
      </c>
      <c r="L221" s="4">
        <v>5</v>
      </c>
      <c r="M221" s="2" t="s">
        <v>319</v>
      </c>
      <c r="N221" s="2" t="s">
        <v>29</v>
      </c>
      <c r="O221" s="2" t="s">
        <v>554</v>
      </c>
      <c r="P221" s="2" t="s">
        <v>63</v>
      </c>
      <c r="Q221" s="2" t="s">
        <v>313</v>
      </c>
      <c r="R221" s="2" t="s">
        <v>563</v>
      </c>
      <c r="T221" s="2" t="s">
        <v>564</v>
      </c>
      <c r="U221" s="2" t="s">
        <v>631</v>
      </c>
      <c r="W221" s="2" t="s">
        <v>565</v>
      </c>
    </row>
    <row r="222" spans="1:23" x14ac:dyDescent="0.3">
      <c r="A222" s="2" t="s">
        <v>357</v>
      </c>
      <c r="B222" s="2" t="s">
        <v>617</v>
      </c>
      <c r="C222" s="2" t="s">
        <v>25</v>
      </c>
      <c r="D222" s="3">
        <f t="shared" si="12"/>
        <v>0.17195121951219511</v>
      </c>
      <c r="E222" s="4">
        <f t="shared" si="13"/>
        <v>147.6</v>
      </c>
      <c r="F222" s="4">
        <f t="shared" si="14"/>
        <v>172.98</v>
      </c>
      <c r="G222" s="4">
        <f t="shared" si="15"/>
        <v>25.379999999999995</v>
      </c>
      <c r="H222" s="2" t="s">
        <v>26</v>
      </c>
      <c r="I222" s="2" t="s">
        <v>27</v>
      </c>
      <c r="J222" s="4">
        <v>8.1999999999999993</v>
      </c>
      <c r="K222" s="4">
        <v>9.61</v>
      </c>
      <c r="L222" s="4">
        <v>18</v>
      </c>
      <c r="M222" s="2" t="s">
        <v>174</v>
      </c>
      <c r="N222" s="2" t="s">
        <v>29</v>
      </c>
      <c r="O222" s="2" t="s">
        <v>554</v>
      </c>
      <c r="P222" s="2" t="s">
        <v>63</v>
      </c>
      <c r="Q222" s="2" t="s">
        <v>175</v>
      </c>
      <c r="R222" s="2" t="s">
        <v>563</v>
      </c>
      <c r="T222" s="2" t="s">
        <v>564</v>
      </c>
      <c r="U222" s="2" t="s">
        <v>618</v>
      </c>
      <c r="W222" s="2" t="s">
        <v>565</v>
      </c>
    </row>
    <row r="223" spans="1:23" ht="20.399999999999999" x14ac:dyDescent="0.3">
      <c r="A223" s="2" t="s">
        <v>424</v>
      </c>
      <c r="B223" s="2" t="s">
        <v>425</v>
      </c>
      <c r="C223" s="2" t="s">
        <v>25</v>
      </c>
      <c r="D223" s="3">
        <f t="shared" si="12"/>
        <v>0.16786893263235114</v>
      </c>
      <c r="E223" s="4">
        <f t="shared" si="13"/>
        <v>24.536999999999999</v>
      </c>
      <c r="F223" s="4">
        <f t="shared" si="14"/>
        <v>28.655999999999999</v>
      </c>
      <c r="G223" s="4">
        <f t="shared" si="15"/>
        <v>4.1189999999999998</v>
      </c>
      <c r="H223" s="2" t="s">
        <v>26</v>
      </c>
      <c r="I223" s="2" t="s">
        <v>27</v>
      </c>
      <c r="J223" s="4">
        <v>8.1790000000000003</v>
      </c>
      <c r="K223" s="4">
        <v>9.5519999999999996</v>
      </c>
      <c r="L223" s="4">
        <v>3</v>
      </c>
      <c r="M223" s="2" t="s">
        <v>55</v>
      </c>
      <c r="N223" s="2" t="s">
        <v>29</v>
      </c>
      <c r="O223" s="2" t="s">
        <v>349</v>
      </c>
      <c r="P223" s="2" t="s">
        <v>350</v>
      </c>
      <c r="Q223" s="2" t="s">
        <v>56</v>
      </c>
      <c r="R223" s="2" t="s">
        <v>351</v>
      </c>
      <c r="T223" s="2" t="s">
        <v>352</v>
      </c>
      <c r="U223" s="2" t="s">
        <v>426</v>
      </c>
      <c r="W223" s="2" t="s">
        <v>353</v>
      </c>
    </row>
    <row r="224" spans="1:23" x14ac:dyDescent="0.3">
      <c r="A224" s="2" t="s">
        <v>23</v>
      </c>
      <c r="B224" s="2" t="s">
        <v>90</v>
      </c>
      <c r="C224" s="2" t="s">
        <v>25</v>
      </c>
      <c r="D224" s="3">
        <f t="shared" si="12"/>
        <v>1.7341040462427744E-2</v>
      </c>
      <c r="E224" s="4">
        <f t="shared" si="13"/>
        <v>519</v>
      </c>
      <c r="F224" s="4">
        <f t="shared" si="14"/>
        <v>528</v>
      </c>
      <c r="G224" s="4">
        <f t="shared" si="15"/>
        <v>9</v>
      </c>
      <c r="H224" s="2" t="s">
        <v>26</v>
      </c>
      <c r="I224" s="2" t="s">
        <v>27</v>
      </c>
      <c r="J224" s="4">
        <v>8.65</v>
      </c>
      <c r="K224" s="4">
        <v>8.8000000000000007</v>
      </c>
      <c r="L224" s="4">
        <v>60</v>
      </c>
      <c r="M224" s="2" t="s">
        <v>62</v>
      </c>
      <c r="N224" s="2" t="s">
        <v>29</v>
      </c>
      <c r="O224" s="2" t="s">
        <v>479</v>
      </c>
      <c r="P224" s="2" t="s">
        <v>480</v>
      </c>
      <c r="Q224" s="2" t="s">
        <v>63</v>
      </c>
      <c r="R224" s="2" t="s">
        <v>481</v>
      </c>
      <c r="T224" s="2" t="s">
        <v>482</v>
      </c>
      <c r="U224" s="2" t="s">
        <v>91</v>
      </c>
      <c r="W224" s="2" t="s">
        <v>483</v>
      </c>
    </row>
    <row r="225" spans="1:23" x14ac:dyDescent="0.3">
      <c r="A225" s="2" t="s">
        <v>212</v>
      </c>
      <c r="B225" s="2" t="s">
        <v>591</v>
      </c>
      <c r="C225" s="2" t="s">
        <v>25</v>
      </c>
      <c r="D225" s="3">
        <f t="shared" si="12"/>
        <v>0.11097019657577679</v>
      </c>
      <c r="E225" s="4">
        <f t="shared" si="13"/>
        <v>157.69999999999999</v>
      </c>
      <c r="F225" s="4">
        <f t="shared" si="14"/>
        <v>175.2</v>
      </c>
      <c r="G225" s="4">
        <f t="shared" si="15"/>
        <v>17.5</v>
      </c>
      <c r="H225" s="2" t="s">
        <v>26</v>
      </c>
      <c r="I225" s="2" t="s">
        <v>27</v>
      </c>
      <c r="J225" s="4">
        <v>7.8849999999999998</v>
      </c>
      <c r="K225" s="4">
        <v>8.76</v>
      </c>
      <c r="L225" s="4">
        <v>20</v>
      </c>
      <c r="M225" s="2" t="s">
        <v>592</v>
      </c>
      <c r="N225" s="2" t="s">
        <v>29</v>
      </c>
      <c r="O225" s="2" t="s">
        <v>554</v>
      </c>
      <c r="P225" s="2" t="s">
        <v>63</v>
      </c>
      <c r="Q225" s="2" t="s">
        <v>593</v>
      </c>
      <c r="R225" s="2" t="s">
        <v>563</v>
      </c>
      <c r="T225" s="2" t="s">
        <v>564</v>
      </c>
      <c r="U225" s="2" t="s">
        <v>594</v>
      </c>
      <c r="W225" s="2" t="s">
        <v>565</v>
      </c>
    </row>
    <row r="226" spans="1:23" x14ac:dyDescent="0.3">
      <c r="A226" s="2" t="s">
        <v>454</v>
      </c>
      <c r="B226" s="2" t="s">
        <v>455</v>
      </c>
      <c r="C226" s="2" t="s">
        <v>25</v>
      </c>
      <c r="D226" s="3">
        <f t="shared" si="12"/>
        <v>0.111395974875016</v>
      </c>
      <c r="E226" s="4">
        <f t="shared" si="13"/>
        <v>15.602</v>
      </c>
      <c r="F226" s="4">
        <f t="shared" si="14"/>
        <v>17.34</v>
      </c>
      <c r="G226" s="4">
        <f t="shared" si="15"/>
        <v>1.7379999999999995</v>
      </c>
      <c r="H226" s="2" t="s">
        <v>26</v>
      </c>
      <c r="I226" s="2" t="s">
        <v>27</v>
      </c>
      <c r="J226" s="4">
        <v>7.8010000000000002</v>
      </c>
      <c r="K226" s="4">
        <v>8.67</v>
      </c>
      <c r="L226" s="4">
        <v>2</v>
      </c>
      <c r="M226" s="2" t="s">
        <v>55</v>
      </c>
      <c r="N226" s="2" t="s">
        <v>29</v>
      </c>
      <c r="O226" s="2" t="s">
        <v>349</v>
      </c>
      <c r="P226" s="2" t="s">
        <v>350</v>
      </c>
      <c r="Q226" s="2" t="s">
        <v>56</v>
      </c>
      <c r="R226" s="2" t="s">
        <v>351</v>
      </c>
      <c r="T226" s="2" t="s">
        <v>352</v>
      </c>
      <c r="U226" s="2" t="s">
        <v>456</v>
      </c>
      <c r="W226" s="2" t="s">
        <v>353</v>
      </c>
    </row>
    <row r="227" spans="1:23" ht="20.399999999999999" x14ac:dyDescent="0.3">
      <c r="A227" s="2" t="s">
        <v>366</v>
      </c>
      <c r="B227" s="2" t="s">
        <v>367</v>
      </c>
      <c r="C227" s="2" t="s">
        <v>25</v>
      </c>
      <c r="D227" s="3">
        <f t="shared" si="12"/>
        <v>0.10852412365800027</v>
      </c>
      <c r="E227" s="4">
        <f t="shared" si="13"/>
        <v>77.31</v>
      </c>
      <c r="F227" s="4">
        <f t="shared" si="14"/>
        <v>85.7</v>
      </c>
      <c r="G227" s="4">
        <f t="shared" si="15"/>
        <v>8.39</v>
      </c>
      <c r="H227" s="2" t="s">
        <v>26</v>
      </c>
      <c r="I227" s="2" t="s">
        <v>27</v>
      </c>
      <c r="J227" s="4">
        <v>7.7309999999999999</v>
      </c>
      <c r="K227" s="4">
        <v>8.57</v>
      </c>
      <c r="L227" s="4">
        <v>10</v>
      </c>
      <c r="M227" s="2" t="s">
        <v>55</v>
      </c>
      <c r="N227" s="2" t="s">
        <v>29</v>
      </c>
      <c r="O227" s="2" t="s">
        <v>349</v>
      </c>
      <c r="P227" s="2" t="s">
        <v>350</v>
      </c>
      <c r="Q227" s="2" t="s">
        <v>56</v>
      </c>
      <c r="R227" s="2" t="s">
        <v>368</v>
      </c>
      <c r="T227" s="2" t="s">
        <v>369</v>
      </c>
      <c r="U227" s="2" t="s">
        <v>370</v>
      </c>
      <c r="W227" s="2" t="s">
        <v>371</v>
      </c>
    </row>
    <row r="228" spans="1:23" x14ac:dyDescent="0.3">
      <c r="A228" s="2" t="s">
        <v>249</v>
      </c>
      <c r="B228" s="2" t="s">
        <v>383</v>
      </c>
      <c r="C228" s="2" t="s">
        <v>25</v>
      </c>
      <c r="D228" s="3">
        <f t="shared" si="12"/>
        <v>0.13333333333333333</v>
      </c>
      <c r="E228" s="4">
        <f t="shared" si="13"/>
        <v>15</v>
      </c>
      <c r="F228" s="4">
        <f t="shared" si="14"/>
        <v>17</v>
      </c>
      <c r="G228" s="4">
        <f t="shared" si="15"/>
        <v>2</v>
      </c>
      <c r="H228" s="2" t="s">
        <v>26</v>
      </c>
      <c r="I228" s="2" t="s">
        <v>27</v>
      </c>
      <c r="J228" s="4">
        <v>7.5</v>
      </c>
      <c r="K228" s="4">
        <v>8.5</v>
      </c>
      <c r="L228" s="4">
        <v>2</v>
      </c>
      <c r="M228" s="2" t="s">
        <v>251</v>
      </c>
      <c r="N228" s="2" t="s">
        <v>29</v>
      </c>
      <c r="O228" s="2" t="s">
        <v>349</v>
      </c>
      <c r="P228" s="2" t="s">
        <v>350</v>
      </c>
      <c r="Q228" s="2" t="s">
        <v>252</v>
      </c>
      <c r="R228" s="2" t="s">
        <v>351</v>
      </c>
      <c r="T228" s="2" t="s">
        <v>352</v>
      </c>
      <c r="U228" s="2" t="s">
        <v>384</v>
      </c>
      <c r="W228" s="2" t="s">
        <v>353</v>
      </c>
    </row>
    <row r="229" spans="1:23" x14ac:dyDescent="0.3">
      <c r="A229" s="2" t="s">
        <v>249</v>
      </c>
      <c r="B229" s="2" t="s">
        <v>420</v>
      </c>
      <c r="C229" s="2" t="s">
        <v>25</v>
      </c>
      <c r="D229" s="3">
        <f t="shared" si="12"/>
        <v>0.15972222222222215</v>
      </c>
      <c r="E229" s="4">
        <f t="shared" si="13"/>
        <v>14.4</v>
      </c>
      <c r="F229" s="4">
        <f t="shared" si="14"/>
        <v>16.7</v>
      </c>
      <c r="G229" s="4">
        <f t="shared" si="15"/>
        <v>2.2999999999999989</v>
      </c>
      <c r="H229" s="2" t="s">
        <v>26</v>
      </c>
      <c r="I229" s="2" t="s">
        <v>27</v>
      </c>
      <c r="J229" s="4">
        <v>7.2</v>
      </c>
      <c r="K229" s="4">
        <v>8.35</v>
      </c>
      <c r="L229" s="4">
        <v>2</v>
      </c>
      <c r="M229" s="2" t="s">
        <v>251</v>
      </c>
      <c r="N229" s="2" t="s">
        <v>29</v>
      </c>
      <c r="O229" s="2" t="s">
        <v>349</v>
      </c>
      <c r="P229" s="2" t="s">
        <v>350</v>
      </c>
      <c r="Q229" s="2" t="s">
        <v>252</v>
      </c>
      <c r="R229" s="2" t="s">
        <v>351</v>
      </c>
      <c r="T229" s="2" t="s">
        <v>352</v>
      </c>
      <c r="U229" s="2" t="s">
        <v>421</v>
      </c>
      <c r="W229" s="2" t="s">
        <v>353</v>
      </c>
    </row>
    <row r="230" spans="1:23" x14ac:dyDescent="0.3">
      <c r="A230" s="2" t="s">
        <v>249</v>
      </c>
      <c r="B230" s="2" t="s">
        <v>381</v>
      </c>
      <c r="C230" s="2" t="s">
        <v>25</v>
      </c>
      <c r="D230" s="3">
        <f t="shared" si="12"/>
        <v>0.12724284344610332</v>
      </c>
      <c r="E230" s="4">
        <f t="shared" si="13"/>
        <v>14.602</v>
      </c>
      <c r="F230" s="4">
        <f t="shared" si="14"/>
        <v>16.46</v>
      </c>
      <c r="G230" s="4">
        <f t="shared" si="15"/>
        <v>1.8580000000000005</v>
      </c>
      <c r="H230" s="2" t="s">
        <v>26</v>
      </c>
      <c r="I230" s="2" t="s">
        <v>27</v>
      </c>
      <c r="J230" s="4">
        <v>7.3010000000000002</v>
      </c>
      <c r="K230" s="4">
        <v>8.23</v>
      </c>
      <c r="L230" s="4">
        <v>2</v>
      </c>
      <c r="M230" s="2" t="s">
        <v>55</v>
      </c>
      <c r="N230" s="2" t="s">
        <v>29</v>
      </c>
      <c r="O230" s="2" t="s">
        <v>349</v>
      </c>
      <c r="P230" s="2" t="s">
        <v>350</v>
      </c>
      <c r="Q230" s="2" t="s">
        <v>56</v>
      </c>
      <c r="R230" s="2" t="s">
        <v>351</v>
      </c>
      <c r="T230" s="2" t="s">
        <v>352</v>
      </c>
      <c r="U230" s="2" t="s">
        <v>382</v>
      </c>
      <c r="W230" s="2" t="s">
        <v>353</v>
      </c>
    </row>
    <row r="231" spans="1:23" x14ac:dyDescent="0.3">
      <c r="A231" s="2" t="s">
        <v>158</v>
      </c>
      <c r="B231" s="2" t="s">
        <v>600</v>
      </c>
      <c r="C231" s="2" t="s">
        <v>25</v>
      </c>
      <c r="D231" s="3">
        <f t="shared" si="12"/>
        <v>0.13698043136694751</v>
      </c>
      <c r="E231" s="4">
        <f t="shared" si="13"/>
        <v>168.024</v>
      </c>
      <c r="F231" s="4">
        <f t="shared" si="14"/>
        <v>191.04</v>
      </c>
      <c r="G231" s="4">
        <f t="shared" si="15"/>
        <v>23.015999999999991</v>
      </c>
      <c r="H231" s="2" t="s">
        <v>26</v>
      </c>
      <c r="I231" s="2" t="s">
        <v>27</v>
      </c>
      <c r="J231" s="4">
        <v>7.0010000000000003</v>
      </c>
      <c r="K231" s="4">
        <v>7.96</v>
      </c>
      <c r="L231" s="4">
        <v>24</v>
      </c>
      <c r="M231" s="2" t="s">
        <v>55</v>
      </c>
      <c r="N231" s="2" t="s">
        <v>29</v>
      </c>
      <c r="O231" s="2" t="s">
        <v>554</v>
      </c>
      <c r="P231" s="2" t="s">
        <v>63</v>
      </c>
      <c r="Q231" s="2" t="s">
        <v>56</v>
      </c>
      <c r="R231" s="2" t="s">
        <v>563</v>
      </c>
      <c r="T231" s="2" t="s">
        <v>564</v>
      </c>
      <c r="U231" s="2" t="s">
        <v>601</v>
      </c>
      <c r="W231" s="2" t="s">
        <v>565</v>
      </c>
    </row>
    <row r="232" spans="1:23" x14ac:dyDescent="0.3">
      <c r="A232" s="2" t="s">
        <v>249</v>
      </c>
      <c r="B232" s="2" t="s">
        <v>254</v>
      </c>
      <c r="C232" s="2" t="s">
        <v>25</v>
      </c>
      <c r="D232" s="3">
        <f t="shared" si="12"/>
        <v>0.1271186440677966</v>
      </c>
      <c r="E232" s="4">
        <f t="shared" si="13"/>
        <v>11.8</v>
      </c>
      <c r="F232" s="4">
        <f t="shared" si="14"/>
        <v>13.3</v>
      </c>
      <c r="G232" s="4">
        <f t="shared" si="15"/>
        <v>1.5</v>
      </c>
      <c r="H232" s="2" t="s">
        <v>26</v>
      </c>
      <c r="I232" s="2" t="s">
        <v>27</v>
      </c>
      <c r="J232" s="4">
        <v>5.9</v>
      </c>
      <c r="K232" s="4">
        <v>6.65</v>
      </c>
      <c r="L232" s="4">
        <v>2</v>
      </c>
      <c r="M232" s="2" t="s">
        <v>251</v>
      </c>
      <c r="N232" s="2" t="s">
        <v>29</v>
      </c>
      <c r="O232" s="2" t="s">
        <v>349</v>
      </c>
      <c r="P232" s="2" t="s">
        <v>350</v>
      </c>
      <c r="Q232" s="2" t="s">
        <v>252</v>
      </c>
      <c r="R232" s="2" t="s">
        <v>351</v>
      </c>
      <c r="T232" s="2" t="s">
        <v>352</v>
      </c>
      <c r="U232" s="2" t="s">
        <v>257</v>
      </c>
      <c r="W232" s="2" t="s">
        <v>353</v>
      </c>
    </row>
    <row r="233" spans="1:23" x14ac:dyDescent="0.3">
      <c r="A233" s="2" t="s">
        <v>249</v>
      </c>
      <c r="B233" s="2" t="s">
        <v>422</v>
      </c>
      <c r="C233" s="2" t="s">
        <v>25</v>
      </c>
      <c r="D233" s="3">
        <f t="shared" si="12"/>
        <v>0.1271186440677966</v>
      </c>
      <c r="E233" s="4">
        <f t="shared" si="13"/>
        <v>11.8</v>
      </c>
      <c r="F233" s="4">
        <f t="shared" si="14"/>
        <v>13.3</v>
      </c>
      <c r="G233" s="4">
        <f t="shared" si="15"/>
        <v>1.5</v>
      </c>
      <c r="H233" s="2" t="s">
        <v>26</v>
      </c>
      <c r="I233" s="2" t="s">
        <v>27</v>
      </c>
      <c r="J233" s="4">
        <v>5.9</v>
      </c>
      <c r="K233" s="4">
        <v>6.65</v>
      </c>
      <c r="L233" s="4">
        <v>2</v>
      </c>
      <c r="M233" s="2" t="s">
        <v>251</v>
      </c>
      <c r="N233" s="2" t="s">
        <v>29</v>
      </c>
      <c r="O233" s="2" t="s">
        <v>349</v>
      </c>
      <c r="P233" s="2" t="s">
        <v>350</v>
      </c>
      <c r="Q233" s="2" t="s">
        <v>252</v>
      </c>
      <c r="R233" s="2" t="s">
        <v>351</v>
      </c>
      <c r="T233" s="2" t="s">
        <v>352</v>
      </c>
      <c r="U233" s="2" t="s">
        <v>423</v>
      </c>
      <c r="W233" s="2" t="s">
        <v>353</v>
      </c>
    </row>
    <row r="234" spans="1:23" ht="20.399999999999999" x14ac:dyDescent="0.3">
      <c r="A234" s="2" t="s">
        <v>357</v>
      </c>
      <c r="B234" s="2" t="s">
        <v>572</v>
      </c>
      <c r="C234" s="2" t="s">
        <v>25</v>
      </c>
      <c r="D234" s="3">
        <f t="shared" si="12"/>
        <v>0.32373525294941008</v>
      </c>
      <c r="E234" s="4">
        <f t="shared" si="13"/>
        <v>30.006</v>
      </c>
      <c r="F234" s="4">
        <f t="shared" si="14"/>
        <v>39.72</v>
      </c>
      <c r="G234" s="4">
        <f t="shared" si="15"/>
        <v>9.7139999999999986</v>
      </c>
      <c r="H234" s="2" t="s">
        <v>26</v>
      </c>
      <c r="I234" s="2" t="s">
        <v>27</v>
      </c>
      <c r="J234" s="4">
        <v>5.0010000000000003</v>
      </c>
      <c r="K234" s="4">
        <v>6.62</v>
      </c>
      <c r="L234" s="4">
        <v>6</v>
      </c>
      <c r="M234" s="2" t="s">
        <v>55</v>
      </c>
      <c r="N234" s="2" t="s">
        <v>29</v>
      </c>
      <c r="O234" s="2" t="s">
        <v>554</v>
      </c>
      <c r="P234" s="2" t="s">
        <v>63</v>
      </c>
      <c r="Q234" s="2" t="s">
        <v>56</v>
      </c>
      <c r="R234" s="2" t="s">
        <v>563</v>
      </c>
      <c r="T234" s="2" t="s">
        <v>564</v>
      </c>
      <c r="U234" s="2" t="s">
        <v>573</v>
      </c>
      <c r="W234" s="2" t="s">
        <v>565</v>
      </c>
    </row>
    <row r="235" spans="1:23" x14ac:dyDescent="0.3">
      <c r="A235" s="2" t="s">
        <v>37</v>
      </c>
      <c r="B235" s="2" t="s">
        <v>585</v>
      </c>
      <c r="C235" s="2" t="s">
        <v>25</v>
      </c>
      <c r="D235" s="3">
        <f t="shared" si="12"/>
        <v>0.12359649122807007</v>
      </c>
      <c r="E235" s="4">
        <f t="shared" si="13"/>
        <v>68.400000000000006</v>
      </c>
      <c r="F235" s="4">
        <f t="shared" si="14"/>
        <v>76.853999999999999</v>
      </c>
      <c r="G235" s="4">
        <f t="shared" si="15"/>
        <v>8.4539999999999935</v>
      </c>
      <c r="H235" s="2" t="s">
        <v>26</v>
      </c>
      <c r="I235" s="2" t="s">
        <v>27</v>
      </c>
      <c r="J235" s="4">
        <v>5.7</v>
      </c>
      <c r="K235" s="4">
        <v>6.4044999999999996</v>
      </c>
      <c r="L235" s="4">
        <v>12</v>
      </c>
      <c r="M235" s="2" t="s">
        <v>227</v>
      </c>
      <c r="N235" s="2" t="s">
        <v>29</v>
      </c>
      <c r="O235" s="2" t="s">
        <v>554</v>
      </c>
      <c r="P235" s="2" t="s">
        <v>63</v>
      </c>
      <c r="Q235" s="2" t="s">
        <v>228</v>
      </c>
      <c r="R235" s="2" t="s">
        <v>563</v>
      </c>
      <c r="T235" s="2" t="s">
        <v>564</v>
      </c>
      <c r="U235" s="2" t="s">
        <v>586</v>
      </c>
      <c r="W235" s="2" t="s">
        <v>565</v>
      </c>
    </row>
    <row r="236" spans="1:23" x14ac:dyDescent="0.3">
      <c r="A236" s="2" t="s">
        <v>249</v>
      </c>
      <c r="B236" s="2" t="s">
        <v>416</v>
      </c>
      <c r="C236" s="2" t="s">
        <v>25</v>
      </c>
      <c r="D236" s="3">
        <f t="shared" si="12"/>
        <v>0.13475177304964553</v>
      </c>
      <c r="E236" s="4">
        <f t="shared" si="13"/>
        <v>5.64</v>
      </c>
      <c r="F236" s="4">
        <f t="shared" si="14"/>
        <v>6.4</v>
      </c>
      <c r="G236" s="4">
        <f t="shared" si="15"/>
        <v>0.76000000000000068</v>
      </c>
      <c r="H236" s="2" t="s">
        <v>26</v>
      </c>
      <c r="I236" s="2" t="s">
        <v>27</v>
      </c>
      <c r="J236" s="4">
        <v>5.64</v>
      </c>
      <c r="K236" s="4">
        <v>6.4</v>
      </c>
      <c r="L236" s="4">
        <v>1</v>
      </c>
      <c r="M236" s="2" t="s">
        <v>222</v>
      </c>
      <c r="N236" s="2" t="s">
        <v>29</v>
      </c>
      <c r="O236" s="2" t="s">
        <v>349</v>
      </c>
      <c r="P236" s="2" t="s">
        <v>350</v>
      </c>
      <c r="Q236" s="2" t="s">
        <v>223</v>
      </c>
      <c r="R236" s="2" t="s">
        <v>351</v>
      </c>
      <c r="T236" s="2" t="s">
        <v>352</v>
      </c>
      <c r="U236" s="2" t="s">
        <v>417</v>
      </c>
      <c r="W236" s="2" t="s">
        <v>353</v>
      </c>
    </row>
    <row r="237" spans="1:23" x14ac:dyDescent="0.3">
      <c r="A237" s="2" t="s">
        <v>249</v>
      </c>
      <c r="B237" s="2" t="s">
        <v>589</v>
      </c>
      <c r="C237" s="2" t="s">
        <v>25</v>
      </c>
      <c r="D237" s="3">
        <f t="shared" si="12"/>
        <v>0.11208559901771611</v>
      </c>
      <c r="E237" s="4">
        <f t="shared" si="13"/>
        <v>85.515000000000001</v>
      </c>
      <c r="F237" s="4">
        <f t="shared" si="14"/>
        <v>95.1</v>
      </c>
      <c r="G237" s="4">
        <f t="shared" si="15"/>
        <v>9.5849999999999937</v>
      </c>
      <c r="H237" s="2" t="s">
        <v>26</v>
      </c>
      <c r="I237" s="2" t="s">
        <v>27</v>
      </c>
      <c r="J237" s="4">
        <v>5.7009999999999996</v>
      </c>
      <c r="K237" s="4">
        <v>6.34</v>
      </c>
      <c r="L237" s="4">
        <v>15</v>
      </c>
      <c r="M237" s="2" t="s">
        <v>55</v>
      </c>
      <c r="N237" s="2" t="s">
        <v>29</v>
      </c>
      <c r="O237" s="2" t="s">
        <v>554</v>
      </c>
      <c r="P237" s="2" t="s">
        <v>63</v>
      </c>
      <c r="Q237" s="2" t="s">
        <v>56</v>
      </c>
      <c r="R237" s="2" t="s">
        <v>563</v>
      </c>
      <c r="T237" s="2" t="s">
        <v>564</v>
      </c>
      <c r="U237" s="2" t="s">
        <v>590</v>
      </c>
      <c r="W237" s="2" t="s">
        <v>565</v>
      </c>
    </row>
    <row r="238" spans="1:23" x14ac:dyDescent="0.3">
      <c r="A238" s="2" t="s">
        <v>357</v>
      </c>
      <c r="B238" s="2" t="s">
        <v>372</v>
      </c>
      <c r="C238" s="2" t="s">
        <v>25</v>
      </c>
      <c r="D238" s="3">
        <f t="shared" si="12"/>
        <v>5.2631578947368335E-2</v>
      </c>
      <c r="E238" s="4">
        <f t="shared" si="13"/>
        <v>34.200000000000003</v>
      </c>
      <c r="F238" s="4">
        <f t="shared" si="14"/>
        <v>36</v>
      </c>
      <c r="G238" s="4">
        <f t="shared" si="15"/>
        <v>1.7999999999999972</v>
      </c>
      <c r="H238" s="2" t="s">
        <v>26</v>
      </c>
      <c r="I238" s="2" t="s">
        <v>27</v>
      </c>
      <c r="J238" s="4">
        <v>5.7</v>
      </c>
      <c r="K238" s="4">
        <v>6</v>
      </c>
      <c r="L238" s="4">
        <v>6</v>
      </c>
      <c r="M238" s="2" t="s">
        <v>373</v>
      </c>
      <c r="N238" s="2" t="s">
        <v>29</v>
      </c>
      <c r="O238" s="2" t="s">
        <v>349</v>
      </c>
      <c r="P238" s="2" t="s">
        <v>350</v>
      </c>
      <c r="Q238" s="2" t="s">
        <v>374</v>
      </c>
      <c r="R238" s="2" t="s">
        <v>375</v>
      </c>
      <c r="T238" s="2" t="s">
        <v>376</v>
      </c>
      <c r="U238" s="2" t="s">
        <v>377</v>
      </c>
      <c r="W238" s="2" t="s">
        <v>378</v>
      </c>
    </row>
    <row r="239" spans="1:23" x14ac:dyDescent="0.3">
      <c r="A239" s="2" t="s">
        <v>357</v>
      </c>
      <c r="B239" s="2" t="s">
        <v>372</v>
      </c>
      <c r="C239" s="2" t="s">
        <v>25</v>
      </c>
      <c r="D239" s="3">
        <f t="shared" si="12"/>
        <v>5.2631578947368335E-2</v>
      </c>
      <c r="E239" s="4">
        <f t="shared" si="13"/>
        <v>17.100000000000001</v>
      </c>
      <c r="F239" s="4">
        <f t="shared" si="14"/>
        <v>18</v>
      </c>
      <c r="G239" s="4">
        <f t="shared" si="15"/>
        <v>0.89999999999999858</v>
      </c>
      <c r="H239" s="2" t="s">
        <v>26</v>
      </c>
      <c r="I239" s="2" t="s">
        <v>27</v>
      </c>
      <c r="J239" s="4">
        <v>5.7</v>
      </c>
      <c r="K239" s="4">
        <v>6</v>
      </c>
      <c r="L239" s="4">
        <v>3</v>
      </c>
      <c r="M239" s="2" t="s">
        <v>373</v>
      </c>
      <c r="N239" s="2" t="s">
        <v>29</v>
      </c>
      <c r="O239" s="2" t="s">
        <v>349</v>
      </c>
      <c r="P239" s="2" t="s">
        <v>350</v>
      </c>
      <c r="Q239" s="2" t="s">
        <v>374</v>
      </c>
      <c r="R239" s="2" t="s">
        <v>351</v>
      </c>
      <c r="T239" s="2" t="s">
        <v>352</v>
      </c>
      <c r="U239" s="2" t="s">
        <v>377</v>
      </c>
      <c r="W239" s="2" t="s">
        <v>353</v>
      </c>
    </row>
    <row r="240" spans="1:23" x14ac:dyDescent="0.3">
      <c r="A240" s="2" t="s">
        <v>357</v>
      </c>
      <c r="B240" s="2" t="s">
        <v>379</v>
      </c>
      <c r="C240" s="2" t="s">
        <v>25</v>
      </c>
      <c r="D240" s="3">
        <f t="shared" si="12"/>
        <v>0.10181997048696498</v>
      </c>
      <c r="E240" s="4">
        <f t="shared" si="13"/>
        <v>30.494999999999997</v>
      </c>
      <c r="F240" s="4">
        <f t="shared" si="14"/>
        <v>33.599999999999994</v>
      </c>
      <c r="G240" s="4">
        <f t="shared" si="15"/>
        <v>3.1049999999999969</v>
      </c>
      <c r="H240" s="2" t="s">
        <v>26</v>
      </c>
      <c r="I240" s="2" t="s">
        <v>27</v>
      </c>
      <c r="J240" s="4">
        <v>5.0824999999999996</v>
      </c>
      <c r="K240" s="4">
        <v>5.6</v>
      </c>
      <c r="L240" s="4">
        <v>6</v>
      </c>
      <c r="M240" s="2" t="s">
        <v>373</v>
      </c>
      <c r="N240" s="2" t="s">
        <v>29</v>
      </c>
      <c r="O240" s="2" t="s">
        <v>349</v>
      </c>
      <c r="P240" s="2" t="s">
        <v>350</v>
      </c>
      <c r="Q240" s="2" t="s">
        <v>374</v>
      </c>
      <c r="R240" s="2" t="s">
        <v>375</v>
      </c>
      <c r="T240" s="2" t="s">
        <v>376</v>
      </c>
      <c r="U240" s="2" t="s">
        <v>380</v>
      </c>
      <c r="W240" s="2" t="s">
        <v>378</v>
      </c>
    </row>
    <row r="241" spans="1:23" x14ac:dyDescent="0.3">
      <c r="A241" s="2" t="s">
        <v>357</v>
      </c>
      <c r="B241" s="2" t="s">
        <v>379</v>
      </c>
      <c r="C241" s="2" t="s">
        <v>25</v>
      </c>
      <c r="D241" s="3">
        <f t="shared" si="12"/>
        <v>0.10181997048696498</v>
      </c>
      <c r="E241" s="4">
        <f t="shared" si="13"/>
        <v>15.247499999999999</v>
      </c>
      <c r="F241" s="4">
        <f t="shared" si="14"/>
        <v>16.799999999999997</v>
      </c>
      <c r="G241" s="4">
        <f t="shared" si="15"/>
        <v>1.5524999999999984</v>
      </c>
      <c r="H241" s="2" t="s">
        <v>26</v>
      </c>
      <c r="I241" s="2" t="s">
        <v>27</v>
      </c>
      <c r="J241" s="4">
        <v>5.0824999999999996</v>
      </c>
      <c r="K241" s="4">
        <v>5.6</v>
      </c>
      <c r="L241" s="4">
        <v>3</v>
      </c>
      <c r="M241" s="2" t="s">
        <v>373</v>
      </c>
      <c r="N241" s="2" t="s">
        <v>29</v>
      </c>
      <c r="O241" s="2" t="s">
        <v>349</v>
      </c>
      <c r="P241" s="2" t="s">
        <v>350</v>
      </c>
      <c r="Q241" s="2" t="s">
        <v>374</v>
      </c>
      <c r="R241" s="2" t="s">
        <v>351</v>
      </c>
      <c r="T241" s="2" t="s">
        <v>352</v>
      </c>
      <c r="U241" s="2" t="s">
        <v>380</v>
      </c>
      <c r="W241" s="2" t="s">
        <v>353</v>
      </c>
    </row>
    <row r="242" spans="1:23" x14ac:dyDescent="0.3">
      <c r="A242" s="2" t="s">
        <v>357</v>
      </c>
      <c r="B242" s="2" t="s">
        <v>379</v>
      </c>
      <c r="C242" s="2" t="s">
        <v>25</v>
      </c>
      <c r="D242" s="3">
        <f t="shared" si="12"/>
        <v>0.10181997048696512</v>
      </c>
      <c r="E242" s="4">
        <f t="shared" si="13"/>
        <v>152.47499999999999</v>
      </c>
      <c r="F242" s="4">
        <f t="shared" si="14"/>
        <v>168</v>
      </c>
      <c r="G242" s="4">
        <f t="shared" si="15"/>
        <v>15.525000000000006</v>
      </c>
      <c r="H242" s="2" t="s">
        <v>26</v>
      </c>
      <c r="I242" s="2" t="s">
        <v>27</v>
      </c>
      <c r="J242" s="4">
        <v>5.0824999999999996</v>
      </c>
      <c r="K242" s="4">
        <v>5.6</v>
      </c>
      <c r="L242" s="4">
        <v>30</v>
      </c>
      <c r="M242" s="2" t="s">
        <v>373</v>
      </c>
      <c r="N242" s="2" t="s">
        <v>29</v>
      </c>
      <c r="O242" s="2" t="s">
        <v>554</v>
      </c>
      <c r="P242" s="2" t="s">
        <v>63</v>
      </c>
      <c r="Q242" s="2" t="s">
        <v>374</v>
      </c>
      <c r="R242" s="2" t="s">
        <v>563</v>
      </c>
      <c r="T242" s="2" t="s">
        <v>564</v>
      </c>
      <c r="U242" s="2" t="s">
        <v>380</v>
      </c>
      <c r="W242" s="2" t="s">
        <v>565</v>
      </c>
    </row>
    <row r="243" spans="1:23" x14ac:dyDescent="0.3">
      <c r="A243" s="2" t="s">
        <v>158</v>
      </c>
      <c r="B243" s="2" t="s">
        <v>608</v>
      </c>
      <c r="C243" s="2" t="s">
        <v>25</v>
      </c>
      <c r="D243" s="3">
        <f t="shared" si="12"/>
        <v>0.13211600429645534</v>
      </c>
      <c r="E243" s="4">
        <f t="shared" si="13"/>
        <v>111.72</v>
      </c>
      <c r="F243" s="4">
        <f t="shared" si="14"/>
        <v>126.47999999999999</v>
      </c>
      <c r="G243" s="4">
        <f t="shared" si="15"/>
        <v>14.759999999999991</v>
      </c>
      <c r="H243" s="2" t="s">
        <v>26</v>
      </c>
      <c r="I243" s="2" t="s">
        <v>27</v>
      </c>
      <c r="J243" s="4">
        <v>4.6550000000000002</v>
      </c>
      <c r="K243" s="4">
        <v>5.27</v>
      </c>
      <c r="L243" s="4">
        <v>24</v>
      </c>
      <c r="M243" s="2" t="s">
        <v>243</v>
      </c>
      <c r="N243" s="2" t="s">
        <v>29</v>
      </c>
      <c r="O243" s="2" t="s">
        <v>554</v>
      </c>
      <c r="P243" s="2" t="s">
        <v>63</v>
      </c>
      <c r="Q243" s="2" t="s">
        <v>244</v>
      </c>
      <c r="R243" s="2" t="s">
        <v>563</v>
      </c>
      <c r="T243" s="2" t="s">
        <v>564</v>
      </c>
      <c r="U243" s="2" t="s">
        <v>609</v>
      </c>
      <c r="W243" s="2" t="s">
        <v>565</v>
      </c>
    </row>
    <row r="244" spans="1:23" x14ac:dyDescent="0.3">
      <c r="A244" s="2" t="s">
        <v>158</v>
      </c>
      <c r="B244" s="2" t="s">
        <v>619</v>
      </c>
      <c r="C244" s="2" t="s">
        <v>25</v>
      </c>
      <c r="D244" s="3">
        <f t="shared" si="12"/>
        <v>0.13211600429645534</v>
      </c>
      <c r="E244" s="4">
        <f t="shared" si="13"/>
        <v>111.72</v>
      </c>
      <c r="F244" s="4">
        <f t="shared" si="14"/>
        <v>126.47999999999999</v>
      </c>
      <c r="G244" s="4">
        <f t="shared" si="15"/>
        <v>14.759999999999991</v>
      </c>
      <c r="H244" s="2" t="s">
        <v>26</v>
      </c>
      <c r="I244" s="2" t="s">
        <v>27</v>
      </c>
      <c r="J244" s="4">
        <v>4.6550000000000002</v>
      </c>
      <c r="K244" s="4">
        <v>5.27</v>
      </c>
      <c r="L244" s="4">
        <v>24</v>
      </c>
      <c r="M244" s="2" t="s">
        <v>55</v>
      </c>
      <c r="N244" s="2" t="s">
        <v>29</v>
      </c>
      <c r="O244" s="2" t="s">
        <v>554</v>
      </c>
      <c r="P244" s="2" t="s">
        <v>63</v>
      </c>
      <c r="Q244" s="2" t="s">
        <v>56</v>
      </c>
      <c r="R244" s="2" t="s">
        <v>563</v>
      </c>
      <c r="T244" s="2" t="s">
        <v>564</v>
      </c>
      <c r="U244" s="2" t="s">
        <v>620</v>
      </c>
      <c r="W244" s="2" t="s">
        <v>565</v>
      </c>
    </row>
    <row r="245" spans="1:23" ht="20.399999999999999" x14ac:dyDescent="0.3">
      <c r="A245" s="2" t="s">
        <v>357</v>
      </c>
      <c r="B245" s="2" t="s">
        <v>385</v>
      </c>
      <c r="C245" s="2" t="s">
        <v>25</v>
      </c>
      <c r="D245" s="3">
        <f t="shared" si="12"/>
        <v>5.4279749478079162E-2</v>
      </c>
      <c r="E245" s="4">
        <f t="shared" si="13"/>
        <v>57.480000000000004</v>
      </c>
      <c r="F245" s="4">
        <f t="shared" si="14"/>
        <v>60.599999999999994</v>
      </c>
      <c r="G245" s="4">
        <f t="shared" si="15"/>
        <v>3.1199999999999903</v>
      </c>
      <c r="H245" s="2" t="s">
        <v>26</v>
      </c>
      <c r="I245" s="2" t="s">
        <v>27</v>
      </c>
      <c r="J245" s="4">
        <v>4.79</v>
      </c>
      <c r="K245" s="4">
        <v>5.05</v>
      </c>
      <c r="L245" s="4">
        <v>12</v>
      </c>
      <c r="M245" s="2" t="s">
        <v>55</v>
      </c>
      <c r="N245" s="2" t="s">
        <v>29</v>
      </c>
      <c r="O245" s="2" t="s">
        <v>349</v>
      </c>
      <c r="P245" s="2" t="s">
        <v>350</v>
      </c>
      <c r="Q245" s="2" t="s">
        <v>56</v>
      </c>
      <c r="R245" s="2" t="s">
        <v>386</v>
      </c>
      <c r="T245" s="2" t="s">
        <v>387</v>
      </c>
      <c r="U245" s="2" t="s">
        <v>388</v>
      </c>
      <c r="W245" s="2" t="s">
        <v>389</v>
      </c>
    </row>
    <row r="246" spans="1:23" x14ac:dyDescent="0.3">
      <c r="A246" s="2" t="s">
        <v>439</v>
      </c>
      <c r="B246" s="2" t="s">
        <v>602</v>
      </c>
      <c r="C246" s="2" t="s">
        <v>25</v>
      </c>
      <c r="D246" s="3">
        <f t="shared" si="12"/>
        <v>0.1204545454545453</v>
      </c>
      <c r="E246" s="4">
        <f t="shared" si="13"/>
        <v>4.4000000000000004</v>
      </c>
      <c r="F246" s="4">
        <f t="shared" si="14"/>
        <v>4.93</v>
      </c>
      <c r="G246" s="4">
        <f t="shared" si="15"/>
        <v>0.52999999999999936</v>
      </c>
      <c r="H246" s="2" t="s">
        <v>26</v>
      </c>
      <c r="I246" s="2" t="s">
        <v>27</v>
      </c>
      <c r="J246" s="4">
        <v>4.4000000000000004</v>
      </c>
      <c r="K246" s="4">
        <v>4.93</v>
      </c>
      <c r="L246" s="4">
        <v>1</v>
      </c>
      <c r="M246" s="2" t="s">
        <v>55</v>
      </c>
      <c r="N246" s="2" t="s">
        <v>29</v>
      </c>
      <c r="O246" s="2" t="s">
        <v>554</v>
      </c>
      <c r="P246" s="2" t="s">
        <v>63</v>
      </c>
      <c r="Q246" s="2" t="s">
        <v>56</v>
      </c>
      <c r="R246" s="2" t="s">
        <v>560</v>
      </c>
      <c r="T246" s="2" t="s">
        <v>556</v>
      </c>
      <c r="U246" s="2" t="s">
        <v>603</v>
      </c>
      <c r="W246" s="2" t="s">
        <v>557</v>
      </c>
    </row>
    <row r="247" spans="1:23" x14ac:dyDescent="0.3">
      <c r="A247" s="2" t="s">
        <v>357</v>
      </c>
      <c r="B247" s="2" t="s">
        <v>606</v>
      </c>
      <c r="C247" s="2" t="s">
        <v>25</v>
      </c>
      <c r="D247" s="3">
        <f t="shared" si="12"/>
        <v>0.1951219512195122</v>
      </c>
      <c r="E247" s="4">
        <f t="shared" si="13"/>
        <v>143.5</v>
      </c>
      <c r="F247" s="4">
        <f t="shared" si="14"/>
        <v>171.5</v>
      </c>
      <c r="G247" s="4">
        <f t="shared" si="15"/>
        <v>28</v>
      </c>
      <c r="H247" s="2" t="s">
        <v>26</v>
      </c>
      <c r="I247" s="2" t="s">
        <v>27</v>
      </c>
      <c r="J247" s="4">
        <v>4.0999999999999996</v>
      </c>
      <c r="K247" s="4">
        <v>4.9000000000000004</v>
      </c>
      <c r="L247" s="4">
        <v>35</v>
      </c>
      <c r="M247" s="2" t="s">
        <v>174</v>
      </c>
      <c r="N247" s="2" t="s">
        <v>29</v>
      </c>
      <c r="O247" s="2" t="s">
        <v>554</v>
      </c>
      <c r="P247" s="2" t="s">
        <v>63</v>
      </c>
      <c r="Q247" s="2" t="s">
        <v>175</v>
      </c>
      <c r="R247" s="2" t="s">
        <v>563</v>
      </c>
      <c r="T247" s="2" t="s">
        <v>564</v>
      </c>
      <c r="U247" s="2" t="s">
        <v>607</v>
      </c>
      <c r="W247" s="2" t="s">
        <v>565</v>
      </c>
    </row>
    <row r="248" spans="1:23" x14ac:dyDescent="0.3">
      <c r="A248" s="2" t="s">
        <v>249</v>
      </c>
      <c r="B248" s="2" t="s">
        <v>418</v>
      </c>
      <c r="C248" s="2" t="s">
        <v>25</v>
      </c>
      <c r="D248" s="3">
        <f t="shared" si="12"/>
        <v>7.3991031390134548E-2</v>
      </c>
      <c r="E248" s="4">
        <f t="shared" si="13"/>
        <v>71.36</v>
      </c>
      <c r="F248" s="4">
        <f t="shared" si="14"/>
        <v>76.64</v>
      </c>
      <c r="G248" s="4">
        <f t="shared" si="15"/>
        <v>5.2800000000000011</v>
      </c>
      <c r="H248" s="2" t="s">
        <v>26</v>
      </c>
      <c r="I248" s="2" t="s">
        <v>27</v>
      </c>
      <c r="J248" s="4">
        <v>4.46</v>
      </c>
      <c r="K248" s="4">
        <v>4.79</v>
      </c>
      <c r="L248" s="4">
        <v>16</v>
      </c>
      <c r="M248" s="2" t="s">
        <v>414</v>
      </c>
      <c r="N248" s="2" t="s">
        <v>29</v>
      </c>
      <c r="O248" s="2" t="s">
        <v>554</v>
      </c>
      <c r="P248" s="2" t="s">
        <v>63</v>
      </c>
      <c r="Q248" s="2" t="s">
        <v>161</v>
      </c>
      <c r="R248" s="2" t="s">
        <v>563</v>
      </c>
      <c r="T248" s="2" t="s">
        <v>564</v>
      </c>
      <c r="U248" s="2" t="s">
        <v>419</v>
      </c>
      <c r="W248" s="2" t="s">
        <v>565</v>
      </c>
    </row>
    <row r="249" spans="1:23" x14ac:dyDescent="0.3">
      <c r="A249" s="2" t="s">
        <v>357</v>
      </c>
      <c r="B249" s="2" t="s">
        <v>635</v>
      </c>
      <c r="C249" s="2" t="s">
        <v>25</v>
      </c>
      <c r="D249" s="3">
        <f t="shared" si="12"/>
        <v>0.1220095693779906</v>
      </c>
      <c r="E249" s="4">
        <f t="shared" si="13"/>
        <v>4.18</v>
      </c>
      <c r="F249" s="4">
        <f t="shared" si="14"/>
        <v>4.6900000000000004</v>
      </c>
      <c r="G249" s="4">
        <f t="shared" si="15"/>
        <v>0.51000000000000068</v>
      </c>
      <c r="H249" s="2" t="s">
        <v>26</v>
      </c>
      <c r="I249" s="2" t="s">
        <v>27</v>
      </c>
      <c r="J249" s="4">
        <v>4.18</v>
      </c>
      <c r="K249" s="4">
        <v>4.6900000000000004</v>
      </c>
      <c r="L249" s="4">
        <v>1</v>
      </c>
      <c r="M249" s="2" t="s">
        <v>55</v>
      </c>
      <c r="N249" s="2" t="s">
        <v>29</v>
      </c>
      <c r="O249" s="2" t="s">
        <v>554</v>
      </c>
      <c r="P249" s="2" t="s">
        <v>63</v>
      </c>
      <c r="Q249" s="2" t="s">
        <v>56</v>
      </c>
      <c r="R249" s="2" t="s">
        <v>560</v>
      </c>
      <c r="T249" s="2" t="s">
        <v>556</v>
      </c>
      <c r="U249" s="2" t="s">
        <v>636</v>
      </c>
      <c r="W249" s="2" t="s">
        <v>557</v>
      </c>
    </row>
    <row r="250" spans="1:23" x14ac:dyDescent="0.3">
      <c r="A250" s="2" t="s">
        <v>249</v>
      </c>
      <c r="B250" s="2" t="s">
        <v>418</v>
      </c>
      <c r="C250" s="2" t="s">
        <v>25</v>
      </c>
      <c r="D250" s="3">
        <f t="shared" si="12"/>
        <v>8.9686098654708606E-3</v>
      </c>
      <c r="E250" s="4">
        <f t="shared" si="13"/>
        <v>71.36</v>
      </c>
      <c r="F250" s="4">
        <f t="shared" si="14"/>
        <v>72</v>
      </c>
      <c r="G250" s="4">
        <f t="shared" si="15"/>
        <v>0.64000000000000057</v>
      </c>
      <c r="H250" s="2" t="s">
        <v>26</v>
      </c>
      <c r="I250" s="2" t="s">
        <v>27</v>
      </c>
      <c r="J250" s="4">
        <v>4.46</v>
      </c>
      <c r="K250" s="4">
        <v>4.5</v>
      </c>
      <c r="L250" s="4">
        <v>16</v>
      </c>
      <c r="M250" s="2" t="s">
        <v>414</v>
      </c>
      <c r="N250" s="2" t="s">
        <v>29</v>
      </c>
      <c r="O250" s="2" t="s">
        <v>349</v>
      </c>
      <c r="P250" s="2" t="s">
        <v>350</v>
      </c>
      <c r="Q250" s="2" t="s">
        <v>161</v>
      </c>
      <c r="R250" s="2" t="s">
        <v>409</v>
      </c>
      <c r="T250" s="2" t="s">
        <v>410</v>
      </c>
      <c r="U250" s="2" t="s">
        <v>419</v>
      </c>
      <c r="W250" s="2" t="s">
        <v>412</v>
      </c>
    </row>
    <row r="251" spans="1:23" ht="20.399999999999999" x14ac:dyDescent="0.3">
      <c r="A251" s="2" t="s">
        <v>558</v>
      </c>
      <c r="B251" s="2" t="s">
        <v>559</v>
      </c>
      <c r="C251" s="2" t="s">
        <v>25</v>
      </c>
      <c r="D251" s="3">
        <f t="shared" si="12"/>
        <v>0.12137862137862156</v>
      </c>
      <c r="E251" s="4">
        <f t="shared" si="13"/>
        <v>4.0039999999999996</v>
      </c>
      <c r="F251" s="4">
        <f t="shared" si="14"/>
        <v>4.49</v>
      </c>
      <c r="G251" s="4">
        <f t="shared" si="15"/>
        <v>0.48600000000000065</v>
      </c>
      <c r="H251" s="2" t="s">
        <v>26</v>
      </c>
      <c r="I251" s="2" t="s">
        <v>27</v>
      </c>
      <c r="J251" s="4">
        <v>4.0039999999999996</v>
      </c>
      <c r="K251" s="4">
        <v>4.49</v>
      </c>
      <c r="L251" s="4">
        <v>1</v>
      </c>
      <c r="M251" s="2" t="s">
        <v>55</v>
      </c>
      <c r="N251" s="2" t="s">
        <v>29</v>
      </c>
      <c r="O251" s="2" t="s">
        <v>554</v>
      </c>
      <c r="P251" s="2" t="s">
        <v>63</v>
      </c>
      <c r="Q251" s="2" t="s">
        <v>56</v>
      </c>
      <c r="R251" s="2" t="s">
        <v>560</v>
      </c>
      <c r="T251" s="2" t="s">
        <v>556</v>
      </c>
      <c r="U251" s="2" t="s">
        <v>561</v>
      </c>
      <c r="W251" s="2" t="s">
        <v>557</v>
      </c>
    </row>
    <row r="252" spans="1:23" x14ac:dyDescent="0.3">
      <c r="A252" s="2" t="s">
        <v>225</v>
      </c>
      <c r="B252" s="2" t="s">
        <v>390</v>
      </c>
      <c r="C252" s="2" t="s">
        <v>25</v>
      </c>
      <c r="D252" s="3">
        <f t="shared" si="12"/>
        <v>0.11899868186758543</v>
      </c>
      <c r="E252" s="4">
        <f t="shared" si="13"/>
        <v>14.178032786885247</v>
      </c>
      <c r="F252" s="4">
        <f t="shared" si="14"/>
        <v>15.8652</v>
      </c>
      <c r="G252" s="4">
        <f t="shared" si="15"/>
        <v>1.687167213114753</v>
      </c>
      <c r="H252" s="2" t="s">
        <v>26</v>
      </c>
      <c r="I252" s="2" t="s">
        <v>27</v>
      </c>
      <c r="J252" s="4">
        <v>3.5445081967213117</v>
      </c>
      <c r="K252" s="4">
        <v>3.9662999999999999</v>
      </c>
      <c r="L252" s="4">
        <v>4</v>
      </c>
      <c r="M252" s="2" t="s">
        <v>391</v>
      </c>
      <c r="N252" s="2" t="s">
        <v>29</v>
      </c>
      <c r="O252" s="2" t="s">
        <v>349</v>
      </c>
      <c r="P252" s="2" t="s">
        <v>350</v>
      </c>
      <c r="Q252" s="2" t="s">
        <v>392</v>
      </c>
      <c r="R252" s="2" t="s">
        <v>351</v>
      </c>
      <c r="T252" s="2" t="s">
        <v>352</v>
      </c>
      <c r="U252" s="2" t="s">
        <v>393</v>
      </c>
      <c r="W252" s="2" t="s">
        <v>353</v>
      </c>
    </row>
    <row r="253" spans="1:23" ht="20.399999999999999" x14ac:dyDescent="0.3">
      <c r="A253" s="2" t="s">
        <v>158</v>
      </c>
      <c r="B253" s="2" t="s">
        <v>364</v>
      </c>
      <c r="C253" s="2" t="s">
        <v>25</v>
      </c>
      <c r="D253" s="3">
        <f t="shared" si="12"/>
        <v>0.11304347826086937</v>
      </c>
      <c r="E253" s="4">
        <f t="shared" si="13"/>
        <v>10.350000000000001</v>
      </c>
      <c r="F253" s="4">
        <f t="shared" si="14"/>
        <v>11.52</v>
      </c>
      <c r="G253" s="4">
        <f t="shared" si="15"/>
        <v>1.1699999999999982</v>
      </c>
      <c r="H253" s="2" t="s">
        <v>26</v>
      </c>
      <c r="I253" s="2" t="s">
        <v>27</v>
      </c>
      <c r="J253" s="4">
        <v>3.45</v>
      </c>
      <c r="K253" s="4">
        <v>3.84</v>
      </c>
      <c r="L253" s="4">
        <v>3</v>
      </c>
      <c r="M253" s="2" t="s">
        <v>55</v>
      </c>
      <c r="N253" s="2" t="s">
        <v>29</v>
      </c>
      <c r="O253" s="2" t="s">
        <v>349</v>
      </c>
      <c r="P253" s="2" t="s">
        <v>350</v>
      </c>
      <c r="Q253" s="2" t="s">
        <v>56</v>
      </c>
      <c r="R253" s="2" t="s">
        <v>351</v>
      </c>
      <c r="T253" s="2" t="s">
        <v>352</v>
      </c>
      <c r="U253" s="2" t="s">
        <v>365</v>
      </c>
      <c r="W253" s="2" t="s">
        <v>353</v>
      </c>
    </row>
    <row r="254" spans="1:23" x14ac:dyDescent="0.3">
      <c r="A254" s="2" t="s">
        <v>249</v>
      </c>
      <c r="B254" s="2" t="s">
        <v>408</v>
      </c>
      <c r="C254" s="2" t="s">
        <v>25</v>
      </c>
      <c r="D254" s="3">
        <f t="shared" si="12"/>
        <v>0.1081560283687944</v>
      </c>
      <c r="E254" s="4">
        <f t="shared" si="13"/>
        <v>169.2</v>
      </c>
      <c r="F254" s="4">
        <f t="shared" si="14"/>
        <v>187.5</v>
      </c>
      <c r="G254" s="4">
        <f t="shared" si="15"/>
        <v>18.300000000000011</v>
      </c>
      <c r="H254" s="2" t="s">
        <v>26</v>
      </c>
      <c r="I254" s="2" t="s">
        <v>27</v>
      </c>
      <c r="J254" s="4">
        <v>3.3839999999999999</v>
      </c>
      <c r="K254" s="4">
        <v>3.75</v>
      </c>
      <c r="L254" s="4">
        <v>50</v>
      </c>
      <c r="M254" s="2" t="s">
        <v>222</v>
      </c>
      <c r="N254" s="2" t="s">
        <v>29</v>
      </c>
      <c r="O254" s="2" t="s">
        <v>349</v>
      </c>
      <c r="P254" s="2" t="s">
        <v>350</v>
      </c>
      <c r="Q254" s="2" t="s">
        <v>223</v>
      </c>
      <c r="R254" s="2" t="s">
        <v>409</v>
      </c>
      <c r="T254" s="2" t="s">
        <v>410</v>
      </c>
      <c r="U254" s="2" t="s">
        <v>411</v>
      </c>
      <c r="W254" s="2" t="s">
        <v>412</v>
      </c>
    </row>
    <row r="255" spans="1:23" ht="20.399999999999999" x14ac:dyDescent="0.3">
      <c r="A255" s="2" t="s">
        <v>108</v>
      </c>
      <c r="B255" s="2" t="s">
        <v>109</v>
      </c>
      <c r="C255" s="2" t="s">
        <v>25</v>
      </c>
      <c r="D255" s="3">
        <f t="shared" si="12"/>
        <v>5.8654999999999999E-2</v>
      </c>
      <c r="E255" s="4">
        <f t="shared" si="13"/>
        <v>6.557377049180328</v>
      </c>
      <c r="F255" s="4">
        <f t="shared" si="14"/>
        <v>6.9420000000000002</v>
      </c>
      <c r="G255" s="4">
        <f t="shared" si="15"/>
        <v>0.38462295081967213</v>
      </c>
      <c r="H255" s="2" t="s">
        <v>26</v>
      </c>
      <c r="I255" s="2" t="s">
        <v>27</v>
      </c>
      <c r="J255" s="4">
        <v>3.278688524590164</v>
      </c>
      <c r="K255" s="4">
        <v>3.4710000000000001</v>
      </c>
      <c r="L255" s="4">
        <v>2</v>
      </c>
      <c r="M255" s="2" t="s">
        <v>110</v>
      </c>
      <c r="N255" s="2" t="s">
        <v>29</v>
      </c>
      <c r="O255" s="2" t="s">
        <v>349</v>
      </c>
      <c r="P255" s="2" t="s">
        <v>350</v>
      </c>
      <c r="Q255" s="2" t="s">
        <v>111</v>
      </c>
      <c r="R255" s="2" t="s">
        <v>351</v>
      </c>
      <c r="T255" s="2" t="s">
        <v>352</v>
      </c>
      <c r="U255" s="2" t="s">
        <v>114</v>
      </c>
      <c r="W255" s="2" t="s">
        <v>353</v>
      </c>
    </row>
    <row r="256" spans="1:23" ht="20.399999999999999" x14ac:dyDescent="0.3">
      <c r="A256" s="2" t="s">
        <v>108</v>
      </c>
      <c r="B256" s="2" t="s">
        <v>109</v>
      </c>
      <c r="C256" s="2" t="s">
        <v>25</v>
      </c>
      <c r="D256" s="3">
        <f t="shared" si="12"/>
        <v>5.8654999999999964E-2</v>
      </c>
      <c r="E256" s="4">
        <f t="shared" si="13"/>
        <v>786.88524590163934</v>
      </c>
      <c r="F256" s="4">
        <f t="shared" si="14"/>
        <v>833.04</v>
      </c>
      <c r="G256" s="4">
        <f t="shared" si="15"/>
        <v>46.154754098360627</v>
      </c>
      <c r="H256" s="2" t="s">
        <v>26</v>
      </c>
      <c r="I256" s="2" t="s">
        <v>27</v>
      </c>
      <c r="J256" s="4">
        <v>3.278688524590164</v>
      </c>
      <c r="K256" s="4">
        <v>3.4710000000000001</v>
      </c>
      <c r="L256" s="4">
        <v>240</v>
      </c>
      <c r="M256" s="2" t="s">
        <v>110</v>
      </c>
      <c r="N256" s="2" t="s">
        <v>29</v>
      </c>
      <c r="O256" s="2" t="s">
        <v>349</v>
      </c>
      <c r="P256" s="2" t="s">
        <v>350</v>
      </c>
      <c r="Q256" s="2" t="s">
        <v>111</v>
      </c>
      <c r="R256" s="2" t="s">
        <v>457</v>
      </c>
      <c r="T256" s="2" t="s">
        <v>458</v>
      </c>
      <c r="U256" s="2" t="s">
        <v>114</v>
      </c>
      <c r="W256" s="2" t="s">
        <v>459</v>
      </c>
    </row>
    <row r="257" spans="1:23" ht="20.399999999999999" x14ac:dyDescent="0.3">
      <c r="A257" s="2" t="s">
        <v>108</v>
      </c>
      <c r="B257" s="2" t="s">
        <v>126</v>
      </c>
      <c r="C257" s="2" t="s">
        <v>25</v>
      </c>
      <c r="D257" s="3">
        <f t="shared" si="12"/>
        <v>5.8654999999999999E-2</v>
      </c>
      <c r="E257" s="4">
        <f t="shared" si="13"/>
        <v>6.557377049180328</v>
      </c>
      <c r="F257" s="4">
        <f t="shared" si="14"/>
        <v>6.9420000000000002</v>
      </c>
      <c r="G257" s="4">
        <f t="shared" si="15"/>
        <v>0.38462295081967213</v>
      </c>
      <c r="H257" s="2" t="s">
        <v>26</v>
      </c>
      <c r="I257" s="2" t="s">
        <v>27</v>
      </c>
      <c r="J257" s="4">
        <v>3.278688524590164</v>
      </c>
      <c r="K257" s="4">
        <v>3.4710000000000001</v>
      </c>
      <c r="L257" s="4">
        <v>2</v>
      </c>
      <c r="M257" s="2" t="s">
        <v>123</v>
      </c>
      <c r="N257" s="2" t="s">
        <v>29</v>
      </c>
      <c r="O257" s="2" t="s">
        <v>349</v>
      </c>
      <c r="P257" s="2" t="s">
        <v>350</v>
      </c>
      <c r="Q257" s="2" t="s">
        <v>124</v>
      </c>
      <c r="R257" s="2" t="s">
        <v>351</v>
      </c>
      <c r="T257" s="2" t="s">
        <v>352</v>
      </c>
      <c r="U257" s="2" t="s">
        <v>127</v>
      </c>
      <c r="W257" s="2" t="s">
        <v>353</v>
      </c>
    </row>
    <row r="258" spans="1:23" ht="20.399999999999999" x14ac:dyDescent="0.3">
      <c r="A258" s="2" t="s">
        <v>108</v>
      </c>
      <c r="B258" s="2" t="s">
        <v>126</v>
      </c>
      <c r="C258" s="2" t="s">
        <v>25</v>
      </c>
      <c r="D258" s="3">
        <f t="shared" si="12"/>
        <v>5.8654999999999881E-2</v>
      </c>
      <c r="E258" s="4">
        <f t="shared" si="13"/>
        <v>524.5901639344263</v>
      </c>
      <c r="F258" s="4">
        <f t="shared" si="14"/>
        <v>555.36</v>
      </c>
      <c r="G258" s="4">
        <f t="shared" si="15"/>
        <v>30.769836065573713</v>
      </c>
      <c r="H258" s="2" t="s">
        <v>26</v>
      </c>
      <c r="I258" s="2" t="s">
        <v>27</v>
      </c>
      <c r="J258" s="4">
        <v>3.278688524590164</v>
      </c>
      <c r="K258" s="4">
        <v>3.4710000000000001</v>
      </c>
      <c r="L258" s="4">
        <v>160</v>
      </c>
      <c r="M258" s="2" t="s">
        <v>123</v>
      </c>
      <c r="N258" s="2" t="s">
        <v>29</v>
      </c>
      <c r="O258" s="2" t="s">
        <v>349</v>
      </c>
      <c r="P258" s="2" t="s">
        <v>350</v>
      </c>
      <c r="Q258" s="2" t="s">
        <v>124</v>
      </c>
      <c r="R258" s="2" t="s">
        <v>457</v>
      </c>
      <c r="T258" s="2" t="s">
        <v>458</v>
      </c>
      <c r="U258" s="2" t="s">
        <v>127</v>
      </c>
      <c r="W258" s="2" t="s">
        <v>459</v>
      </c>
    </row>
    <row r="259" spans="1:23" x14ac:dyDescent="0.3">
      <c r="A259" s="2" t="s">
        <v>305</v>
      </c>
      <c r="B259" s="2" t="s">
        <v>477</v>
      </c>
      <c r="C259" s="2" t="s">
        <v>25</v>
      </c>
      <c r="D259" s="3">
        <f t="shared" ref="D259:D320" si="16">G259/E259</f>
        <v>0.12360544217687068</v>
      </c>
      <c r="E259" s="4">
        <f t="shared" ref="E259:E320" si="17">J259*L259</f>
        <v>8.82</v>
      </c>
      <c r="F259" s="4">
        <f t="shared" ref="F259:F320" si="18">K259*L259</f>
        <v>9.9101999999999997</v>
      </c>
      <c r="G259" s="4">
        <f t="shared" ref="G259:G320" si="19">F259-E259</f>
        <v>1.0901999999999994</v>
      </c>
      <c r="H259" s="2" t="s">
        <v>26</v>
      </c>
      <c r="I259" s="2" t="s">
        <v>27</v>
      </c>
      <c r="J259" s="4">
        <v>2.94</v>
      </c>
      <c r="K259" s="4">
        <v>3.3033999999999999</v>
      </c>
      <c r="L259" s="4">
        <v>3</v>
      </c>
      <c r="M259" s="2" t="s">
        <v>227</v>
      </c>
      <c r="N259" s="2" t="s">
        <v>29</v>
      </c>
      <c r="O259" s="2" t="s">
        <v>349</v>
      </c>
      <c r="P259" s="2" t="s">
        <v>350</v>
      </c>
      <c r="Q259" s="2" t="s">
        <v>228</v>
      </c>
      <c r="R259" s="2" t="s">
        <v>351</v>
      </c>
      <c r="T259" s="2" t="s">
        <v>352</v>
      </c>
      <c r="U259" s="2" t="s">
        <v>478</v>
      </c>
      <c r="W259" s="2" t="s">
        <v>353</v>
      </c>
    </row>
    <row r="260" spans="1:23" ht="20.399999999999999" x14ac:dyDescent="0.3">
      <c r="A260" s="2" t="s">
        <v>357</v>
      </c>
      <c r="B260" s="2" t="s">
        <v>444</v>
      </c>
      <c r="C260" s="2" t="s">
        <v>25</v>
      </c>
      <c r="D260" s="3">
        <f t="shared" si="16"/>
        <v>0.12358156028368802</v>
      </c>
      <c r="E260" s="4">
        <f t="shared" si="17"/>
        <v>8.4599999999999991</v>
      </c>
      <c r="F260" s="4">
        <f t="shared" si="18"/>
        <v>9.5054999999999996</v>
      </c>
      <c r="G260" s="4">
        <f t="shared" si="19"/>
        <v>1.0455000000000005</v>
      </c>
      <c r="H260" s="2" t="s">
        <v>26</v>
      </c>
      <c r="I260" s="2" t="s">
        <v>27</v>
      </c>
      <c r="J260" s="4">
        <v>2.82</v>
      </c>
      <c r="K260" s="4">
        <v>3.1684999999999999</v>
      </c>
      <c r="L260" s="4">
        <v>3</v>
      </c>
      <c r="M260" s="2" t="s">
        <v>445</v>
      </c>
      <c r="N260" s="2" t="s">
        <v>29</v>
      </c>
      <c r="O260" s="2" t="s">
        <v>349</v>
      </c>
      <c r="P260" s="2" t="s">
        <v>350</v>
      </c>
      <c r="Q260" s="2" t="s">
        <v>446</v>
      </c>
      <c r="R260" s="2" t="s">
        <v>351</v>
      </c>
      <c r="T260" s="2" t="s">
        <v>352</v>
      </c>
      <c r="U260" s="2" t="s">
        <v>447</v>
      </c>
      <c r="W260" s="2" t="s">
        <v>353</v>
      </c>
    </row>
    <row r="261" spans="1:23" ht="20.399999999999999" x14ac:dyDescent="0.3">
      <c r="A261" s="2" t="s">
        <v>357</v>
      </c>
      <c r="B261" s="2" t="s">
        <v>448</v>
      </c>
      <c r="C261" s="2" t="s">
        <v>25</v>
      </c>
      <c r="D261" s="3">
        <f t="shared" si="16"/>
        <v>0.12358156028368802</v>
      </c>
      <c r="E261" s="4">
        <f t="shared" si="17"/>
        <v>8.4599999999999991</v>
      </c>
      <c r="F261" s="4">
        <f t="shared" si="18"/>
        <v>9.5054999999999996</v>
      </c>
      <c r="G261" s="4">
        <f t="shared" si="19"/>
        <v>1.0455000000000005</v>
      </c>
      <c r="H261" s="2" t="s">
        <v>26</v>
      </c>
      <c r="I261" s="2" t="s">
        <v>27</v>
      </c>
      <c r="J261" s="4">
        <v>2.82</v>
      </c>
      <c r="K261" s="4">
        <v>3.1684999999999999</v>
      </c>
      <c r="L261" s="4">
        <v>3</v>
      </c>
      <c r="M261" s="2" t="s">
        <v>445</v>
      </c>
      <c r="N261" s="2" t="s">
        <v>29</v>
      </c>
      <c r="O261" s="2" t="s">
        <v>349</v>
      </c>
      <c r="P261" s="2" t="s">
        <v>350</v>
      </c>
      <c r="Q261" s="2" t="s">
        <v>446</v>
      </c>
      <c r="R261" s="2" t="s">
        <v>351</v>
      </c>
      <c r="T261" s="2" t="s">
        <v>352</v>
      </c>
      <c r="U261" s="2" t="s">
        <v>449</v>
      </c>
      <c r="W261" s="2" t="s">
        <v>353</v>
      </c>
    </row>
    <row r="262" spans="1:23" x14ac:dyDescent="0.3">
      <c r="A262" s="2" t="s">
        <v>158</v>
      </c>
      <c r="B262" s="2" t="s">
        <v>578</v>
      </c>
      <c r="C262" s="2" t="s">
        <v>25</v>
      </c>
      <c r="D262" s="3">
        <f t="shared" si="16"/>
        <v>0.12480286738351241</v>
      </c>
      <c r="E262" s="4">
        <f t="shared" si="17"/>
        <v>33.480000000000004</v>
      </c>
      <c r="F262" s="4">
        <f t="shared" si="18"/>
        <v>37.6584</v>
      </c>
      <c r="G262" s="4">
        <f t="shared" si="19"/>
        <v>4.1783999999999963</v>
      </c>
      <c r="H262" s="2" t="s">
        <v>26</v>
      </c>
      <c r="I262" s="2" t="s">
        <v>27</v>
      </c>
      <c r="J262" s="4">
        <v>2.79</v>
      </c>
      <c r="K262" s="4">
        <v>3.1381999999999999</v>
      </c>
      <c r="L262" s="4">
        <v>12</v>
      </c>
      <c r="M262" s="2" t="s">
        <v>227</v>
      </c>
      <c r="N262" s="2" t="s">
        <v>29</v>
      </c>
      <c r="O262" s="2" t="s">
        <v>554</v>
      </c>
      <c r="P262" s="2" t="s">
        <v>63</v>
      </c>
      <c r="Q262" s="2" t="s">
        <v>228</v>
      </c>
      <c r="R262" s="2" t="s">
        <v>563</v>
      </c>
      <c r="T262" s="2" t="s">
        <v>564</v>
      </c>
      <c r="U262" s="2" t="s">
        <v>579</v>
      </c>
      <c r="W262" s="2" t="s">
        <v>565</v>
      </c>
    </row>
    <row r="263" spans="1:23" x14ac:dyDescent="0.3">
      <c r="A263" s="2" t="s">
        <v>595</v>
      </c>
      <c r="B263" s="2" t="s">
        <v>596</v>
      </c>
      <c r="C263" s="2" t="s">
        <v>25</v>
      </c>
      <c r="D263" s="3">
        <f t="shared" si="16"/>
        <v>0.12318840579710162</v>
      </c>
      <c r="E263" s="4">
        <f t="shared" si="17"/>
        <v>33.119999999999997</v>
      </c>
      <c r="F263" s="4">
        <f t="shared" si="18"/>
        <v>37.200000000000003</v>
      </c>
      <c r="G263" s="4">
        <f t="shared" si="19"/>
        <v>4.0800000000000054</v>
      </c>
      <c r="H263" s="2" t="s">
        <v>26</v>
      </c>
      <c r="I263" s="2" t="s">
        <v>27</v>
      </c>
      <c r="J263" s="4">
        <v>2.76</v>
      </c>
      <c r="K263" s="4">
        <v>3.1</v>
      </c>
      <c r="L263" s="4">
        <v>12</v>
      </c>
      <c r="M263" s="2" t="s">
        <v>39</v>
      </c>
      <c r="N263" s="2" t="s">
        <v>29</v>
      </c>
      <c r="O263" s="2" t="s">
        <v>554</v>
      </c>
      <c r="P263" s="2" t="s">
        <v>63</v>
      </c>
      <c r="Q263" s="2" t="s">
        <v>40</v>
      </c>
      <c r="R263" s="2" t="s">
        <v>563</v>
      </c>
      <c r="T263" s="2" t="s">
        <v>564</v>
      </c>
      <c r="U263" s="2" t="s">
        <v>597</v>
      </c>
      <c r="W263" s="2" t="s">
        <v>565</v>
      </c>
    </row>
    <row r="264" spans="1:23" x14ac:dyDescent="0.3">
      <c r="A264" s="2" t="s">
        <v>249</v>
      </c>
      <c r="B264" s="2" t="s">
        <v>250</v>
      </c>
      <c r="C264" s="2" t="s">
        <v>25</v>
      </c>
      <c r="D264" s="3">
        <f t="shared" si="16"/>
        <v>0.2</v>
      </c>
      <c r="E264" s="4">
        <f t="shared" si="17"/>
        <v>30</v>
      </c>
      <c r="F264" s="4">
        <f t="shared" si="18"/>
        <v>36</v>
      </c>
      <c r="G264" s="4">
        <f t="shared" si="19"/>
        <v>6</v>
      </c>
      <c r="H264" s="2" t="s">
        <v>26</v>
      </c>
      <c r="I264" s="2" t="s">
        <v>27</v>
      </c>
      <c r="J264" s="4">
        <v>2.5</v>
      </c>
      <c r="K264" s="4">
        <v>3</v>
      </c>
      <c r="L264" s="4">
        <v>12</v>
      </c>
      <c r="M264" s="2" t="s">
        <v>251</v>
      </c>
      <c r="N264" s="2" t="s">
        <v>29</v>
      </c>
      <c r="O264" s="2" t="s">
        <v>554</v>
      </c>
      <c r="P264" s="2" t="s">
        <v>63</v>
      </c>
      <c r="Q264" s="2" t="s">
        <v>252</v>
      </c>
      <c r="R264" s="2" t="s">
        <v>563</v>
      </c>
      <c r="T264" s="2" t="s">
        <v>564</v>
      </c>
      <c r="U264" s="2" t="s">
        <v>253</v>
      </c>
      <c r="W264" s="2" t="s">
        <v>565</v>
      </c>
    </row>
    <row r="265" spans="1:23" x14ac:dyDescent="0.3">
      <c r="A265" s="2" t="s">
        <v>46</v>
      </c>
      <c r="B265" s="2" t="s">
        <v>47</v>
      </c>
      <c r="C265" s="2" t="s">
        <v>25</v>
      </c>
      <c r="D265" s="3">
        <f t="shared" si="16"/>
        <v>5.6793673616103484E-2</v>
      </c>
      <c r="E265" s="4">
        <f t="shared" si="17"/>
        <v>375.57</v>
      </c>
      <c r="F265" s="4">
        <f t="shared" si="18"/>
        <v>396.9</v>
      </c>
      <c r="G265" s="4">
        <f t="shared" si="19"/>
        <v>21.329999999999984</v>
      </c>
      <c r="H265" s="2" t="s">
        <v>26</v>
      </c>
      <c r="I265" s="2" t="s">
        <v>27</v>
      </c>
      <c r="J265" s="4">
        <v>2.782</v>
      </c>
      <c r="K265" s="4">
        <v>2.94</v>
      </c>
      <c r="L265" s="4">
        <v>135</v>
      </c>
      <c r="M265" s="2" t="s">
        <v>48</v>
      </c>
      <c r="N265" s="2" t="s">
        <v>29</v>
      </c>
      <c r="O265" s="2" t="s">
        <v>349</v>
      </c>
      <c r="P265" s="2" t="s">
        <v>350</v>
      </c>
      <c r="Q265" s="2" t="s">
        <v>49</v>
      </c>
      <c r="R265" s="2" t="s">
        <v>368</v>
      </c>
      <c r="T265" s="2" t="s">
        <v>369</v>
      </c>
      <c r="U265" s="2" t="s">
        <v>52</v>
      </c>
      <c r="W265" s="2" t="s">
        <v>371</v>
      </c>
    </row>
    <row r="266" spans="1:23" ht="20.399999999999999" x14ac:dyDescent="0.3">
      <c r="A266" s="2" t="s">
        <v>357</v>
      </c>
      <c r="B266" s="2" t="s">
        <v>467</v>
      </c>
      <c r="C266" s="2" t="s">
        <v>25</v>
      </c>
      <c r="D266" s="3">
        <f t="shared" si="16"/>
        <v>0.12361331220285254</v>
      </c>
      <c r="E266" s="4">
        <f t="shared" si="17"/>
        <v>5.048</v>
      </c>
      <c r="F266" s="4">
        <f t="shared" si="18"/>
        <v>5.6719999999999997</v>
      </c>
      <c r="G266" s="4">
        <f t="shared" si="19"/>
        <v>0.62399999999999967</v>
      </c>
      <c r="H266" s="2" t="s">
        <v>26</v>
      </c>
      <c r="I266" s="2" t="s">
        <v>27</v>
      </c>
      <c r="J266" s="4">
        <v>2.524</v>
      </c>
      <c r="K266" s="4">
        <v>2.8359999999999999</v>
      </c>
      <c r="L266" s="4">
        <v>2</v>
      </c>
      <c r="M266" s="2" t="s">
        <v>445</v>
      </c>
      <c r="N266" s="2" t="s">
        <v>29</v>
      </c>
      <c r="O266" s="2" t="s">
        <v>349</v>
      </c>
      <c r="P266" s="2" t="s">
        <v>350</v>
      </c>
      <c r="Q266" s="2" t="s">
        <v>446</v>
      </c>
      <c r="R266" s="2" t="s">
        <v>351</v>
      </c>
      <c r="T266" s="2" t="s">
        <v>352</v>
      </c>
      <c r="U266" s="2" t="s">
        <v>468</v>
      </c>
      <c r="W266" s="2" t="s">
        <v>353</v>
      </c>
    </row>
    <row r="267" spans="1:23" ht="20.399999999999999" x14ac:dyDescent="0.3">
      <c r="A267" s="2" t="s">
        <v>357</v>
      </c>
      <c r="B267" s="2" t="s">
        <v>469</v>
      </c>
      <c r="C267" s="2" t="s">
        <v>25</v>
      </c>
      <c r="D267" s="3">
        <f t="shared" si="16"/>
        <v>0.12361331220285254</v>
      </c>
      <c r="E267" s="4">
        <f t="shared" si="17"/>
        <v>5.048</v>
      </c>
      <c r="F267" s="4">
        <f t="shared" si="18"/>
        <v>5.6719999999999997</v>
      </c>
      <c r="G267" s="4">
        <f t="shared" si="19"/>
        <v>0.62399999999999967</v>
      </c>
      <c r="H267" s="2" t="s">
        <v>26</v>
      </c>
      <c r="I267" s="2" t="s">
        <v>27</v>
      </c>
      <c r="J267" s="4">
        <v>2.524</v>
      </c>
      <c r="K267" s="4">
        <v>2.8359999999999999</v>
      </c>
      <c r="L267" s="4">
        <v>2</v>
      </c>
      <c r="M267" s="2" t="s">
        <v>445</v>
      </c>
      <c r="N267" s="2" t="s">
        <v>29</v>
      </c>
      <c r="O267" s="2" t="s">
        <v>349</v>
      </c>
      <c r="P267" s="2" t="s">
        <v>350</v>
      </c>
      <c r="Q267" s="2" t="s">
        <v>446</v>
      </c>
      <c r="R267" s="2" t="s">
        <v>351</v>
      </c>
      <c r="T267" s="2" t="s">
        <v>352</v>
      </c>
      <c r="U267" s="2" t="s">
        <v>470</v>
      </c>
      <c r="W267" s="2" t="s">
        <v>353</v>
      </c>
    </row>
    <row r="268" spans="1:23" x14ac:dyDescent="0.3">
      <c r="A268" s="2" t="s">
        <v>130</v>
      </c>
      <c r="B268" s="2" t="s">
        <v>433</v>
      </c>
      <c r="C268" s="2" t="s">
        <v>25</v>
      </c>
      <c r="D268" s="3">
        <f t="shared" si="16"/>
        <v>0.12778904665314406</v>
      </c>
      <c r="E268" s="4">
        <f t="shared" si="17"/>
        <v>7.3949999999999996</v>
      </c>
      <c r="F268" s="4">
        <f t="shared" si="18"/>
        <v>8.34</v>
      </c>
      <c r="G268" s="4">
        <f t="shared" si="19"/>
        <v>0.94500000000000028</v>
      </c>
      <c r="H268" s="2" t="s">
        <v>26</v>
      </c>
      <c r="I268" s="2" t="s">
        <v>27</v>
      </c>
      <c r="J268" s="4">
        <v>2.4649999999999999</v>
      </c>
      <c r="K268" s="4">
        <v>2.78</v>
      </c>
      <c r="L268" s="4">
        <v>3</v>
      </c>
      <c r="M268" s="2" t="s">
        <v>434</v>
      </c>
      <c r="N268" s="2" t="s">
        <v>29</v>
      </c>
      <c r="O268" s="2" t="s">
        <v>349</v>
      </c>
      <c r="P268" s="2" t="s">
        <v>350</v>
      </c>
      <c r="Q268" s="2" t="s">
        <v>435</v>
      </c>
      <c r="R268" s="2" t="s">
        <v>351</v>
      </c>
      <c r="T268" s="2" t="s">
        <v>352</v>
      </c>
      <c r="U268" s="2" t="s">
        <v>436</v>
      </c>
      <c r="W268" s="2" t="s">
        <v>353</v>
      </c>
    </row>
    <row r="269" spans="1:23" ht="20.399999999999999" x14ac:dyDescent="0.3">
      <c r="A269" s="2" t="s">
        <v>354</v>
      </c>
      <c r="B269" s="2" t="s">
        <v>355</v>
      </c>
      <c r="C269" s="2" t="s">
        <v>25</v>
      </c>
      <c r="D269" s="3">
        <f t="shared" si="16"/>
        <v>0.12994350282485878</v>
      </c>
      <c r="E269" s="4">
        <f t="shared" si="17"/>
        <v>6.9030000000000005</v>
      </c>
      <c r="F269" s="4">
        <f t="shared" si="18"/>
        <v>7.8000000000000007</v>
      </c>
      <c r="G269" s="4">
        <f t="shared" si="19"/>
        <v>0.89700000000000024</v>
      </c>
      <c r="H269" s="2" t="s">
        <v>26</v>
      </c>
      <c r="I269" s="2" t="s">
        <v>27</v>
      </c>
      <c r="J269" s="4">
        <v>2.3010000000000002</v>
      </c>
      <c r="K269" s="4">
        <v>2.6</v>
      </c>
      <c r="L269" s="4">
        <v>3</v>
      </c>
      <c r="M269" s="2" t="s">
        <v>55</v>
      </c>
      <c r="N269" s="2" t="s">
        <v>29</v>
      </c>
      <c r="O269" s="2" t="s">
        <v>349</v>
      </c>
      <c r="P269" s="2" t="s">
        <v>350</v>
      </c>
      <c r="Q269" s="2" t="s">
        <v>56</v>
      </c>
      <c r="R269" s="2" t="s">
        <v>351</v>
      </c>
      <c r="T269" s="2" t="s">
        <v>352</v>
      </c>
      <c r="U269" s="2" t="s">
        <v>356</v>
      </c>
      <c r="W269" s="2" t="s">
        <v>353</v>
      </c>
    </row>
    <row r="270" spans="1:23" ht="20.399999999999999" x14ac:dyDescent="0.3">
      <c r="A270" s="2" t="s">
        <v>158</v>
      </c>
      <c r="B270" s="2" t="s">
        <v>272</v>
      </c>
      <c r="C270" s="2" t="s">
        <v>25</v>
      </c>
      <c r="D270" s="3">
        <f t="shared" si="16"/>
        <v>0.12473913043478269</v>
      </c>
      <c r="E270" s="4">
        <f t="shared" si="17"/>
        <v>9.1999999999999993</v>
      </c>
      <c r="F270" s="4">
        <f t="shared" si="18"/>
        <v>10.3476</v>
      </c>
      <c r="G270" s="4">
        <f t="shared" si="19"/>
        <v>1.1476000000000006</v>
      </c>
      <c r="H270" s="2" t="s">
        <v>26</v>
      </c>
      <c r="I270" s="2" t="s">
        <v>27</v>
      </c>
      <c r="J270" s="4">
        <v>2.2999999999999998</v>
      </c>
      <c r="K270" s="4">
        <v>2.5869</v>
      </c>
      <c r="L270" s="4">
        <v>4</v>
      </c>
      <c r="M270" s="2" t="s">
        <v>273</v>
      </c>
      <c r="N270" s="2" t="s">
        <v>29</v>
      </c>
      <c r="O270" s="2" t="s">
        <v>349</v>
      </c>
      <c r="P270" s="2" t="s">
        <v>350</v>
      </c>
      <c r="Q270" s="2" t="s">
        <v>274</v>
      </c>
      <c r="R270" s="2" t="s">
        <v>351</v>
      </c>
      <c r="T270" s="2" t="s">
        <v>352</v>
      </c>
      <c r="U270" s="2" t="s">
        <v>277</v>
      </c>
      <c r="W270" s="2" t="s">
        <v>353</v>
      </c>
    </row>
    <row r="271" spans="1:23" ht="20.399999999999999" x14ac:dyDescent="0.3">
      <c r="A271" s="2" t="s">
        <v>158</v>
      </c>
      <c r="B271" s="2" t="s">
        <v>437</v>
      </c>
      <c r="C271" s="2" t="s">
        <v>25</v>
      </c>
      <c r="D271" s="3">
        <f t="shared" si="16"/>
        <v>0.12473913043478269</v>
      </c>
      <c r="E271" s="4">
        <f t="shared" si="17"/>
        <v>9.1999999999999993</v>
      </c>
      <c r="F271" s="4">
        <f t="shared" si="18"/>
        <v>10.3476</v>
      </c>
      <c r="G271" s="4">
        <f t="shared" si="19"/>
        <v>1.1476000000000006</v>
      </c>
      <c r="H271" s="2" t="s">
        <v>26</v>
      </c>
      <c r="I271" s="2" t="s">
        <v>27</v>
      </c>
      <c r="J271" s="4">
        <v>2.2999999999999998</v>
      </c>
      <c r="K271" s="4">
        <v>2.5869</v>
      </c>
      <c r="L271" s="4">
        <v>4</v>
      </c>
      <c r="M271" s="2" t="s">
        <v>273</v>
      </c>
      <c r="N271" s="2" t="s">
        <v>29</v>
      </c>
      <c r="O271" s="2" t="s">
        <v>349</v>
      </c>
      <c r="P271" s="2" t="s">
        <v>350</v>
      </c>
      <c r="Q271" s="2" t="s">
        <v>274</v>
      </c>
      <c r="R271" s="2" t="s">
        <v>351</v>
      </c>
      <c r="T271" s="2" t="s">
        <v>352</v>
      </c>
      <c r="U271" s="2" t="s">
        <v>438</v>
      </c>
      <c r="W271" s="2" t="s">
        <v>353</v>
      </c>
    </row>
    <row r="272" spans="1:23" ht="20.399999999999999" x14ac:dyDescent="0.3">
      <c r="A272" s="2" t="s">
        <v>158</v>
      </c>
      <c r="B272" s="2" t="s">
        <v>628</v>
      </c>
      <c r="C272" s="2" t="s">
        <v>25</v>
      </c>
      <c r="D272" s="3">
        <f t="shared" si="16"/>
        <v>0.125</v>
      </c>
      <c r="E272" s="4">
        <f t="shared" si="17"/>
        <v>8.64</v>
      </c>
      <c r="F272" s="4">
        <f t="shared" si="18"/>
        <v>9.7200000000000006</v>
      </c>
      <c r="G272" s="4">
        <f t="shared" si="19"/>
        <v>1.08</v>
      </c>
      <c r="H272" s="2" t="s">
        <v>26</v>
      </c>
      <c r="I272" s="2" t="s">
        <v>27</v>
      </c>
      <c r="J272" s="4">
        <v>2.16</v>
      </c>
      <c r="K272" s="4">
        <v>2.4300000000000002</v>
      </c>
      <c r="L272" s="4">
        <v>4</v>
      </c>
      <c r="M272" s="2" t="s">
        <v>39</v>
      </c>
      <c r="N272" s="2" t="s">
        <v>29</v>
      </c>
      <c r="O272" s="2" t="s">
        <v>554</v>
      </c>
      <c r="P272" s="2" t="s">
        <v>63</v>
      </c>
      <c r="Q272" s="2" t="s">
        <v>40</v>
      </c>
      <c r="R272" s="2" t="s">
        <v>563</v>
      </c>
      <c r="T272" s="2" t="s">
        <v>564</v>
      </c>
      <c r="U272" s="2" t="s">
        <v>629</v>
      </c>
      <c r="W272" s="2" t="s">
        <v>565</v>
      </c>
    </row>
    <row r="273" spans="1:23" x14ac:dyDescent="0.3">
      <c r="A273" s="2" t="s">
        <v>357</v>
      </c>
      <c r="B273" s="2" t="s">
        <v>358</v>
      </c>
      <c r="C273" s="2" t="s">
        <v>25</v>
      </c>
      <c r="D273" s="3">
        <f t="shared" si="16"/>
        <v>0.27095727420227167</v>
      </c>
      <c r="E273" s="4">
        <f t="shared" si="17"/>
        <v>5.5469999999999997</v>
      </c>
      <c r="F273" s="4">
        <f t="shared" si="18"/>
        <v>7.0500000000000007</v>
      </c>
      <c r="G273" s="4">
        <f t="shared" si="19"/>
        <v>1.503000000000001</v>
      </c>
      <c r="H273" s="2" t="s">
        <v>26</v>
      </c>
      <c r="I273" s="2" t="s">
        <v>27</v>
      </c>
      <c r="J273" s="4">
        <v>1.849</v>
      </c>
      <c r="K273" s="4">
        <v>2.35</v>
      </c>
      <c r="L273" s="4">
        <v>3</v>
      </c>
      <c r="M273" s="2" t="s">
        <v>55</v>
      </c>
      <c r="N273" s="2" t="s">
        <v>29</v>
      </c>
      <c r="O273" s="2" t="s">
        <v>349</v>
      </c>
      <c r="P273" s="2" t="s">
        <v>350</v>
      </c>
      <c r="Q273" s="2" t="s">
        <v>56</v>
      </c>
      <c r="R273" s="2" t="s">
        <v>351</v>
      </c>
      <c r="T273" s="2" t="s">
        <v>352</v>
      </c>
      <c r="U273" s="2" t="s">
        <v>359</v>
      </c>
      <c r="W273" s="2" t="s">
        <v>353</v>
      </c>
    </row>
    <row r="274" spans="1:23" x14ac:dyDescent="0.3">
      <c r="A274" s="2" t="s">
        <v>357</v>
      </c>
      <c r="B274" s="2" t="s">
        <v>362</v>
      </c>
      <c r="C274" s="2" t="s">
        <v>25</v>
      </c>
      <c r="D274" s="3">
        <f t="shared" si="16"/>
        <v>0.27095727420227167</v>
      </c>
      <c r="E274" s="4">
        <f t="shared" si="17"/>
        <v>5.5469999999999997</v>
      </c>
      <c r="F274" s="4">
        <f t="shared" si="18"/>
        <v>7.0500000000000007</v>
      </c>
      <c r="G274" s="4">
        <f t="shared" si="19"/>
        <v>1.503000000000001</v>
      </c>
      <c r="H274" s="2" t="s">
        <v>26</v>
      </c>
      <c r="I274" s="2" t="s">
        <v>27</v>
      </c>
      <c r="J274" s="4">
        <v>1.849</v>
      </c>
      <c r="K274" s="4">
        <v>2.35</v>
      </c>
      <c r="L274" s="4">
        <v>3</v>
      </c>
      <c r="M274" s="2" t="s">
        <v>55</v>
      </c>
      <c r="N274" s="2" t="s">
        <v>29</v>
      </c>
      <c r="O274" s="2" t="s">
        <v>349</v>
      </c>
      <c r="P274" s="2" t="s">
        <v>350</v>
      </c>
      <c r="Q274" s="2" t="s">
        <v>56</v>
      </c>
      <c r="R274" s="2" t="s">
        <v>351</v>
      </c>
      <c r="T274" s="2" t="s">
        <v>352</v>
      </c>
      <c r="U274" s="2" t="s">
        <v>363</v>
      </c>
      <c r="W274" s="2" t="s">
        <v>353</v>
      </c>
    </row>
    <row r="275" spans="1:23" x14ac:dyDescent="0.3">
      <c r="A275" s="2" t="s">
        <v>158</v>
      </c>
      <c r="B275" s="2" t="s">
        <v>398</v>
      </c>
      <c r="C275" s="2" t="s">
        <v>25</v>
      </c>
      <c r="D275" s="3">
        <f t="shared" si="16"/>
        <v>0.12358851674641158</v>
      </c>
      <c r="E275" s="4">
        <f t="shared" si="17"/>
        <v>6.27</v>
      </c>
      <c r="F275" s="4">
        <f t="shared" si="18"/>
        <v>7.0449000000000002</v>
      </c>
      <c r="G275" s="4">
        <f t="shared" si="19"/>
        <v>0.77490000000000059</v>
      </c>
      <c r="H275" s="2" t="s">
        <v>26</v>
      </c>
      <c r="I275" s="2" t="s">
        <v>27</v>
      </c>
      <c r="J275" s="4">
        <v>2.09</v>
      </c>
      <c r="K275" s="4">
        <v>2.3483000000000001</v>
      </c>
      <c r="L275" s="4">
        <v>3</v>
      </c>
      <c r="M275" s="2" t="s">
        <v>243</v>
      </c>
      <c r="N275" s="2" t="s">
        <v>29</v>
      </c>
      <c r="O275" s="2" t="s">
        <v>349</v>
      </c>
      <c r="P275" s="2" t="s">
        <v>350</v>
      </c>
      <c r="Q275" s="2" t="s">
        <v>244</v>
      </c>
      <c r="R275" s="2" t="s">
        <v>351</v>
      </c>
      <c r="T275" s="2" t="s">
        <v>352</v>
      </c>
      <c r="U275" s="2" t="s">
        <v>399</v>
      </c>
      <c r="W275" s="2" t="s">
        <v>353</v>
      </c>
    </row>
    <row r="276" spans="1:23" x14ac:dyDescent="0.3">
      <c r="A276" s="2" t="s">
        <v>225</v>
      </c>
      <c r="B276" s="2" t="s">
        <v>394</v>
      </c>
      <c r="C276" s="2" t="s">
        <v>25</v>
      </c>
      <c r="D276" s="3">
        <f t="shared" si="16"/>
        <v>0.12359288888888897</v>
      </c>
      <c r="E276" s="4">
        <f t="shared" si="17"/>
        <v>9.221311475409836</v>
      </c>
      <c r="F276" s="4">
        <f t="shared" si="18"/>
        <v>10.361000000000001</v>
      </c>
      <c r="G276" s="4">
        <f t="shared" si="19"/>
        <v>1.1396885245901647</v>
      </c>
      <c r="H276" s="2" t="s">
        <v>26</v>
      </c>
      <c r="I276" s="2" t="s">
        <v>27</v>
      </c>
      <c r="J276" s="4">
        <v>1.8442622950819672</v>
      </c>
      <c r="K276" s="4">
        <v>2.0722</v>
      </c>
      <c r="L276" s="4">
        <v>5</v>
      </c>
      <c r="M276" s="2" t="s">
        <v>395</v>
      </c>
      <c r="N276" s="2" t="s">
        <v>29</v>
      </c>
      <c r="O276" s="2" t="s">
        <v>349</v>
      </c>
      <c r="P276" s="2" t="s">
        <v>350</v>
      </c>
      <c r="Q276" s="2" t="s">
        <v>396</v>
      </c>
      <c r="R276" s="2" t="s">
        <v>351</v>
      </c>
      <c r="T276" s="2" t="s">
        <v>352</v>
      </c>
      <c r="U276" s="2" t="s">
        <v>397</v>
      </c>
      <c r="W276" s="2" t="s">
        <v>353</v>
      </c>
    </row>
    <row r="277" spans="1:23" x14ac:dyDescent="0.3">
      <c r="A277" s="2" t="s">
        <v>158</v>
      </c>
      <c r="B277" s="2" t="s">
        <v>406</v>
      </c>
      <c r="C277" s="2" t="s">
        <v>25</v>
      </c>
      <c r="D277" s="3">
        <f t="shared" si="16"/>
        <v>0.10040091638029783</v>
      </c>
      <c r="E277" s="4">
        <f t="shared" si="17"/>
        <v>6.984</v>
      </c>
      <c r="F277" s="4">
        <f t="shared" si="18"/>
        <v>7.6852</v>
      </c>
      <c r="G277" s="4">
        <f t="shared" si="19"/>
        <v>0.70120000000000005</v>
      </c>
      <c r="H277" s="2" t="s">
        <v>26</v>
      </c>
      <c r="I277" s="2" t="s">
        <v>27</v>
      </c>
      <c r="J277" s="4">
        <v>1.746</v>
      </c>
      <c r="K277" s="4">
        <v>1.9213</v>
      </c>
      <c r="L277" s="4">
        <v>4</v>
      </c>
      <c r="M277" s="2" t="s">
        <v>401</v>
      </c>
      <c r="N277" s="2" t="s">
        <v>29</v>
      </c>
      <c r="O277" s="2" t="s">
        <v>349</v>
      </c>
      <c r="P277" s="2" t="s">
        <v>350</v>
      </c>
      <c r="Q277" s="2" t="s">
        <v>402</v>
      </c>
      <c r="R277" s="2" t="s">
        <v>351</v>
      </c>
      <c r="T277" s="2" t="s">
        <v>352</v>
      </c>
      <c r="U277" s="2" t="s">
        <v>407</v>
      </c>
      <c r="W277" s="2" t="s">
        <v>353</v>
      </c>
    </row>
    <row r="278" spans="1:23" x14ac:dyDescent="0.3">
      <c r="A278" s="2" t="s">
        <v>305</v>
      </c>
      <c r="B278" s="2" t="s">
        <v>471</v>
      </c>
      <c r="C278" s="2" t="s">
        <v>25</v>
      </c>
      <c r="D278" s="3">
        <f t="shared" si="16"/>
        <v>0.12356725146198833</v>
      </c>
      <c r="E278" s="4">
        <f t="shared" si="17"/>
        <v>1.71</v>
      </c>
      <c r="F278" s="4">
        <f t="shared" si="18"/>
        <v>1.9213</v>
      </c>
      <c r="G278" s="4">
        <f t="shared" si="19"/>
        <v>0.21130000000000004</v>
      </c>
      <c r="H278" s="2" t="s">
        <v>26</v>
      </c>
      <c r="I278" s="2" t="s">
        <v>27</v>
      </c>
      <c r="J278" s="4">
        <v>1.71</v>
      </c>
      <c r="K278" s="4">
        <v>1.9213</v>
      </c>
      <c r="L278" s="4">
        <v>1</v>
      </c>
      <c r="M278" s="2" t="s">
        <v>285</v>
      </c>
      <c r="N278" s="2" t="s">
        <v>29</v>
      </c>
      <c r="O278" s="2" t="s">
        <v>349</v>
      </c>
      <c r="P278" s="2" t="s">
        <v>350</v>
      </c>
      <c r="Q278" s="2" t="s">
        <v>286</v>
      </c>
      <c r="R278" s="2" t="s">
        <v>351</v>
      </c>
      <c r="T278" s="2" t="s">
        <v>352</v>
      </c>
      <c r="U278" s="2" t="s">
        <v>472</v>
      </c>
      <c r="W278" s="2" t="s">
        <v>353</v>
      </c>
    </row>
    <row r="279" spans="1:23" x14ac:dyDescent="0.3">
      <c r="A279" s="2" t="s">
        <v>158</v>
      </c>
      <c r="B279" s="2" t="s">
        <v>168</v>
      </c>
      <c r="C279" s="2" t="s">
        <v>25</v>
      </c>
      <c r="D279" s="3">
        <f t="shared" si="16"/>
        <v>0.12291933418693993</v>
      </c>
      <c r="E279" s="4">
        <f t="shared" si="17"/>
        <v>4.6859999999999999</v>
      </c>
      <c r="F279" s="4">
        <f t="shared" si="18"/>
        <v>5.2620000000000005</v>
      </c>
      <c r="G279" s="4">
        <f t="shared" si="19"/>
        <v>0.57600000000000051</v>
      </c>
      <c r="H279" s="2" t="s">
        <v>26</v>
      </c>
      <c r="I279" s="2" t="s">
        <v>27</v>
      </c>
      <c r="J279" s="4">
        <v>1.5620000000000001</v>
      </c>
      <c r="K279" s="4">
        <v>1.754</v>
      </c>
      <c r="L279" s="4">
        <v>3</v>
      </c>
      <c r="M279" s="2" t="s">
        <v>55</v>
      </c>
      <c r="N279" s="2" t="s">
        <v>29</v>
      </c>
      <c r="O279" s="2" t="s">
        <v>349</v>
      </c>
      <c r="P279" s="2" t="s">
        <v>350</v>
      </c>
      <c r="Q279" s="2" t="s">
        <v>56</v>
      </c>
      <c r="R279" s="2" t="s">
        <v>351</v>
      </c>
      <c r="T279" s="2" t="s">
        <v>352</v>
      </c>
      <c r="U279" s="2" t="s">
        <v>171</v>
      </c>
      <c r="W279" s="2" t="s">
        <v>353</v>
      </c>
    </row>
    <row r="280" spans="1:23" x14ac:dyDescent="0.3">
      <c r="A280" s="2" t="s">
        <v>357</v>
      </c>
      <c r="B280" s="2" t="s">
        <v>442</v>
      </c>
      <c r="C280" s="2" t="s">
        <v>25</v>
      </c>
      <c r="D280" s="3">
        <f t="shared" si="16"/>
        <v>0.12258064516129023</v>
      </c>
      <c r="E280" s="4">
        <f t="shared" si="17"/>
        <v>15.5</v>
      </c>
      <c r="F280" s="4">
        <f t="shared" si="18"/>
        <v>17.399999999999999</v>
      </c>
      <c r="G280" s="4">
        <f t="shared" si="19"/>
        <v>1.8999999999999986</v>
      </c>
      <c r="H280" s="2" t="s">
        <v>26</v>
      </c>
      <c r="I280" s="2" t="s">
        <v>27</v>
      </c>
      <c r="J280" s="4">
        <v>1.55</v>
      </c>
      <c r="K280" s="4">
        <v>1.74</v>
      </c>
      <c r="L280" s="4">
        <v>10</v>
      </c>
      <c r="M280" s="2" t="s">
        <v>55</v>
      </c>
      <c r="N280" s="2" t="s">
        <v>29</v>
      </c>
      <c r="O280" s="2" t="s">
        <v>349</v>
      </c>
      <c r="P280" s="2" t="s">
        <v>350</v>
      </c>
      <c r="Q280" s="2" t="s">
        <v>56</v>
      </c>
      <c r="R280" s="2" t="s">
        <v>375</v>
      </c>
      <c r="T280" s="2" t="s">
        <v>376</v>
      </c>
      <c r="U280" s="2" t="s">
        <v>443</v>
      </c>
      <c r="W280" s="2" t="s">
        <v>378</v>
      </c>
    </row>
    <row r="281" spans="1:23" x14ac:dyDescent="0.3">
      <c r="A281" s="2" t="s">
        <v>158</v>
      </c>
      <c r="B281" s="2" t="s">
        <v>360</v>
      </c>
      <c r="C281" s="2" t="s">
        <v>25</v>
      </c>
      <c r="D281" s="3">
        <f t="shared" si="16"/>
        <v>0.11210762331838572</v>
      </c>
      <c r="E281" s="4">
        <f t="shared" si="17"/>
        <v>4.6829999999999998</v>
      </c>
      <c r="F281" s="4">
        <f t="shared" si="18"/>
        <v>5.2080000000000002</v>
      </c>
      <c r="G281" s="4">
        <f t="shared" si="19"/>
        <v>0.52500000000000036</v>
      </c>
      <c r="H281" s="2" t="s">
        <v>26</v>
      </c>
      <c r="I281" s="2" t="s">
        <v>27</v>
      </c>
      <c r="J281" s="4">
        <v>1.5609999999999999</v>
      </c>
      <c r="K281" s="4">
        <v>1.736</v>
      </c>
      <c r="L281" s="4">
        <v>3</v>
      </c>
      <c r="M281" s="2" t="s">
        <v>55</v>
      </c>
      <c r="N281" s="2" t="s">
        <v>29</v>
      </c>
      <c r="O281" s="2" t="s">
        <v>349</v>
      </c>
      <c r="P281" s="2" t="s">
        <v>350</v>
      </c>
      <c r="Q281" s="2" t="s">
        <v>56</v>
      </c>
      <c r="R281" s="2" t="s">
        <v>351</v>
      </c>
      <c r="T281" s="2" t="s">
        <v>352</v>
      </c>
      <c r="U281" s="2" t="s">
        <v>361</v>
      </c>
      <c r="W281" s="2" t="s">
        <v>353</v>
      </c>
    </row>
    <row r="282" spans="1:23" x14ac:dyDescent="0.3">
      <c r="A282" s="2" t="s">
        <v>225</v>
      </c>
      <c r="B282" s="2" t="s">
        <v>400</v>
      </c>
      <c r="C282" s="2" t="s">
        <v>25</v>
      </c>
      <c r="D282" s="3">
        <f t="shared" si="16"/>
        <v>0.10136389831593769</v>
      </c>
      <c r="E282" s="4">
        <f t="shared" si="17"/>
        <v>6.2468000000000004</v>
      </c>
      <c r="F282" s="4">
        <f t="shared" si="18"/>
        <v>6.88</v>
      </c>
      <c r="G282" s="4">
        <f t="shared" si="19"/>
        <v>0.63319999999999954</v>
      </c>
      <c r="H282" s="2" t="s">
        <v>26</v>
      </c>
      <c r="I282" s="2" t="s">
        <v>27</v>
      </c>
      <c r="J282" s="4">
        <v>1.5617000000000001</v>
      </c>
      <c r="K282" s="4">
        <v>1.72</v>
      </c>
      <c r="L282" s="4">
        <v>4</v>
      </c>
      <c r="M282" s="2" t="s">
        <v>401</v>
      </c>
      <c r="N282" s="2" t="s">
        <v>29</v>
      </c>
      <c r="O282" s="2" t="s">
        <v>349</v>
      </c>
      <c r="P282" s="2" t="s">
        <v>350</v>
      </c>
      <c r="Q282" s="2" t="s">
        <v>402</v>
      </c>
      <c r="R282" s="2" t="s">
        <v>351</v>
      </c>
      <c r="T282" s="2" t="s">
        <v>352</v>
      </c>
      <c r="U282" s="2" t="s">
        <v>403</v>
      </c>
      <c r="W282" s="2" t="s">
        <v>353</v>
      </c>
    </row>
    <row r="283" spans="1:23" x14ac:dyDescent="0.3">
      <c r="A283" s="2" t="s">
        <v>357</v>
      </c>
      <c r="B283" s="2" t="s">
        <v>637</v>
      </c>
      <c r="C283" s="2" t="s">
        <v>25</v>
      </c>
      <c r="D283" s="3">
        <f t="shared" si="16"/>
        <v>0.14399999999999993</v>
      </c>
      <c r="E283" s="4">
        <f t="shared" si="17"/>
        <v>36</v>
      </c>
      <c r="F283" s="4">
        <f t="shared" si="18"/>
        <v>41.183999999999997</v>
      </c>
      <c r="G283" s="4">
        <f t="shared" si="19"/>
        <v>5.1839999999999975</v>
      </c>
      <c r="H283" s="2" t="s">
        <v>26</v>
      </c>
      <c r="I283" s="2" t="s">
        <v>27</v>
      </c>
      <c r="J283" s="4">
        <v>1.5</v>
      </c>
      <c r="K283" s="4">
        <v>1.716</v>
      </c>
      <c r="L283" s="4">
        <v>24</v>
      </c>
      <c r="M283" s="2" t="s">
        <v>55</v>
      </c>
      <c r="N283" s="2" t="s">
        <v>29</v>
      </c>
      <c r="O283" s="2" t="s">
        <v>554</v>
      </c>
      <c r="P283" s="2" t="s">
        <v>63</v>
      </c>
      <c r="Q283" s="2" t="s">
        <v>56</v>
      </c>
      <c r="R283" s="2" t="s">
        <v>563</v>
      </c>
      <c r="T283" s="2" t="s">
        <v>564</v>
      </c>
      <c r="U283" s="2" t="s">
        <v>638</v>
      </c>
      <c r="W283" s="2" t="s">
        <v>565</v>
      </c>
    </row>
    <row r="284" spans="1:23" x14ac:dyDescent="0.3">
      <c r="A284" s="2" t="s">
        <v>158</v>
      </c>
      <c r="B284" s="2" t="s">
        <v>159</v>
      </c>
      <c r="C284" s="2" t="s">
        <v>25</v>
      </c>
      <c r="D284" s="3">
        <f t="shared" si="16"/>
        <v>0.11930294906166225</v>
      </c>
      <c r="E284" s="4">
        <f t="shared" si="17"/>
        <v>10.443999999999999</v>
      </c>
      <c r="F284" s="4">
        <f t="shared" si="18"/>
        <v>11.69</v>
      </c>
      <c r="G284" s="4">
        <f t="shared" si="19"/>
        <v>1.2460000000000004</v>
      </c>
      <c r="H284" s="2" t="s">
        <v>26</v>
      </c>
      <c r="I284" s="2" t="s">
        <v>27</v>
      </c>
      <c r="J284" s="4">
        <v>1.492</v>
      </c>
      <c r="K284" s="4">
        <v>1.67</v>
      </c>
      <c r="L284" s="4">
        <v>7</v>
      </c>
      <c r="M284" s="2" t="s">
        <v>55</v>
      </c>
      <c r="N284" s="2" t="s">
        <v>29</v>
      </c>
      <c r="O284" s="2" t="s">
        <v>349</v>
      </c>
      <c r="P284" s="2" t="s">
        <v>350</v>
      </c>
      <c r="Q284" s="2" t="s">
        <v>56</v>
      </c>
      <c r="R284" s="2" t="s">
        <v>351</v>
      </c>
      <c r="T284" s="2" t="s">
        <v>352</v>
      </c>
      <c r="U284" s="2" t="s">
        <v>164</v>
      </c>
      <c r="W284" s="2" t="s">
        <v>353</v>
      </c>
    </row>
    <row r="285" spans="1:23" x14ac:dyDescent="0.3">
      <c r="A285" s="2" t="s">
        <v>325</v>
      </c>
      <c r="B285" s="2" t="s">
        <v>326</v>
      </c>
      <c r="C285" s="2" t="s">
        <v>25</v>
      </c>
      <c r="D285" s="3">
        <f t="shared" si="16"/>
        <v>0.15650969529085873</v>
      </c>
      <c r="E285" s="4">
        <f t="shared" si="17"/>
        <v>8.6639999999999997</v>
      </c>
      <c r="F285" s="4">
        <f t="shared" si="18"/>
        <v>10.02</v>
      </c>
      <c r="G285" s="4">
        <f t="shared" si="19"/>
        <v>1.3559999999999999</v>
      </c>
      <c r="H285" s="2" t="s">
        <v>26</v>
      </c>
      <c r="I285" s="2" t="s">
        <v>27</v>
      </c>
      <c r="J285" s="4">
        <v>1.444</v>
      </c>
      <c r="K285" s="4">
        <v>1.67</v>
      </c>
      <c r="L285" s="4">
        <v>6</v>
      </c>
      <c r="M285" s="2" t="s">
        <v>55</v>
      </c>
      <c r="N285" s="2" t="s">
        <v>29</v>
      </c>
      <c r="O285" s="2" t="s">
        <v>349</v>
      </c>
      <c r="P285" s="2" t="s">
        <v>350</v>
      </c>
      <c r="Q285" s="2" t="s">
        <v>56</v>
      </c>
      <c r="R285" s="2" t="s">
        <v>351</v>
      </c>
      <c r="T285" s="2" t="s">
        <v>352</v>
      </c>
      <c r="U285" s="2" t="s">
        <v>327</v>
      </c>
      <c r="W285" s="2" t="s">
        <v>353</v>
      </c>
    </row>
    <row r="286" spans="1:23" x14ac:dyDescent="0.3">
      <c r="A286" s="2" t="s">
        <v>325</v>
      </c>
      <c r="B286" s="2" t="s">
        <v>326</v>
      </c>
      <c r="C286" s="2" t="s">
        <v>25</v>
      </c>
      <c r="D286" s="3">
        <f t="shared" si="16"/>
        <v>0.1218836565096954</v>
      </c>
      <c r="E286" s="4">
        <f t="shared" si="17"/>
        <v>1.444</v>
      </c>
      <c r="F286" s="4">
        <f t="shared" si="18"/>
        <v>1.62</v>
      </c>
      <c r="G286" s="4">
        <f t="shared" si="19"/>
        <v>0.17600000000000016</v>
      </c>
      <c r="H286" s="2" t="s">
        <v>26</v>
      </c>
      <c r="I286" s="2" t="s">
        <v>27</v>
      </c>
      <c r="J286" s="4">
        <v>1.444</v>
      </c>
      <c r="K286" s="4">
        <v>1.62</v>
      </c>
      <c r="L286" s="4">
        <v>1</v>
      </c>
      <c r="M286" s="2" t="s">
        <v>55</v>
      </c>
      <c r="N286" s="2" t="s">
        <v>29</v>
      </c>
      <c r="O286" s="2" t="s">
        <v>554</v>
      </c>
      <c r="P286" s="2" t="s">
        <v>63</v>
      </c>
      <c r="Q286" s="2" t="s">
        <v>56</v>
      </c>
      <c r="R286" s="2" t="s">
        <v>560</v>
      </c>
      <c r="T286" s="2" t="s">
        <v>556</v>
      </c>
      <c r="U286" s="2" t="s">
        <v>327</v>
      </c>
      <c r="W286" s="2" t="s">
        <v>557</v>
      </c>
    </row>
    <row r="287" spans="1:23" x14ac:dyDescent="0.3">
      <c r="A287" s="2" t="s">
        <v>357</v>
      </c>
      <c r="B287" s="2" t="s">
        <v>404</v>
      </c>
      <c r="C287" s="2" t="s">
        <v>25</v>
      </c>
      <c r="D287" s="3">
        <f t="shared" si="16"/>
        <v>0.11194029850746261</v>
      </c>
      <c r="E287" s="4">
        <f t="shared" si="17"/>
        <v>5.36</v>
      </c>
      <c r="F287" s="4">
        <f t="shared" si="18"/>
        <v>5.96</v>
      </c>
      <c r="G287" s="4">
        <f t="shared" si="19"/>
        <v>0.59999999999999964</v>
      </c>
      <c r="H287" s="2" t="s">
        <v>26</v>
      </c>
      <c r="I287" s="2" t="s">
        <v>27</v>
      </c>
      <c r="J287" s="4">
        <v>1.34</v>
      </c>
      <c r="K287" s="4">
        <v>1.49</v>
      </c>
      <c r="L287" s="4">
        <v>4</v>
      </c>
      <c r="M287" s="2" t="s">
        <v>55</v>
      </c>
      <c r="N287" s="2" t="s">
        <v>29</v>
      </c>
      <c r="O287" s="2" t="s">
        <v>349</v>
      </c>
      <c r="P287" s="2" t="s">
        <v>350</v>
      </c>
      <c r="Q287" s="2" t="s">
        <v>56</v>
      </c>
      <c r="R287" s="2" t="s">
        <v>351</v>
      </c>
      <c r="T287" s="2" t="s">
        <v>352</v>
      </c>
      <c r="U287" s="2" t="s">
        <v>405</v>
      </c>
      <c r="W287" s="2" t="s">
        <v>353</v>
      </c>
    </row>
    <row r="288" spans="1:23" ht="20.399999999999999" x14ac:dyDescent="0.3">
      <c r="A288" s="2" t="s">
        <v>462</v>
      </c>
      <c r="B288" s="2" t="s">
        <v>463</v>
      </c>
      <c r="C288" s="2" t="s">
        <v>25</v>
      </c>
      <c r="D288" s="3">
        <f t="shared" si="16"/>
        <v>0.1236153846153846</v>
      </c>
      <c r="E288" s="4">
        <f t="shared" si="17"/>
        <v>3.9000000000000004</v>
      </c>
      <c r="F288" s="4">
        <f t="shared" si="18"/>
        <v>4.3821000000000003</v>
      </c>
      <c r="G288" s="4">
        <f t="shared" si="19"/>
        <v>0.48209999999999997</v>
      </c>
      <c r="H288" s="2" t="s">
        <v>26</v>
      </c>
      <c r="I288" s="2" t="s">
        <v>27</v>
      </c>
      <c r="J288" s="4">
        <v>1.3</v>
      </c>
      <c r="K288" s="4">
        <v>1.4607000000000001</v>
      </c>
      <c r="L288" s="4">
        <v>3</v>
      </c>
      <c r="M288" s="2" t="s">
        <v>464</v>
      </c>
      <c r="N288" s="2" t="s">
        <v>29</v>
      </c>
      <c r="O288" s="2" t="s">
        <v>349</v>
      </c>
      <c r="P288" s="2" t="s">
        <v>350</v>
      </c>
      <c r="Q288" s="2" t="s">
        <v>465</v>
      </c>
      <c r="R288" s="2" t="s">
        <v>351</v>
      </c>
      <c r="T288" s="2" t="s">
        <v>352</v>
      </c>
      <c r="U288" s="2" t="s">
        <v>466</v>
      </c>
      <c r="W288" s="2" t="s">
        <v>353</v>
      </c>
    </row>
    <row r="289" spans="1:23" x14ac:dyDescent="0.3">
      <c r="A289" s="2" t="s">
        <v>632</v>
      </c>
      <c r="B289" s="2" t="s">
        <v>633</v>
      </c>
      <c r="C289" s="2" t="s">
        <v>25</v>
      </c>
      <c r="D289" s="3">
        <f t="shared" si="16"/>
        <v>0.12499999999999993</v>
      </c>
      <c r="E289" s="4">
        <f t="shared" si="17"/>
        <v>1.28</v>
      </c>
      <c r="F289" s="4">
        <f t="shared" si="18"/>
        <v>1.44</v>
      </c>
      <c r="G289" s="4">
        <f t="shared" si="19"/>
        <v>0.15999999999999992</v>
      </c>
      <c r="H289" s="2" t="s">
        <v>26</v>
      </c>
      <c r="I289" s="2" t="s">
        <v>27</v>
      </c>
      <c r="J289" s="4">
        <v>1.28</v>
      </c>
      <c r="K289" s="4">
        <v>1.44</v>
      </c>
      <c r="L289" s="4">
        <v>1</v>
      </c>
      <c r="M289" s="2" t="s">
        <v>55</v>
      </c>
      <c r="N289" s="2" t="s">
        <v>29</v>
      </c>
      <c r="O289" s="2" t="s">
        <v>554</v>
      </c>
      <c r="P289" s="2" t="s">
        <v>63</v>
      </c>
      <c r="Q289" s="2" t="s">
        <v>56</v>
      </c>
      <c r="R289" s="2" t="s">
        <v>560</v>
      </c>
      <c r="T289" s="2" t="s">
        <v>556</v>
      </c>
      <c r="U289" s="2" t="s">
        <v>634</v>
      </c>
      <c r="W289" s="2" t="s">
        <v>557</v>
      </c>
    </row>
    <row r="290" spans="1:23" x14ac:dyDescent="0.3">
      <c r="A290" s="2" t="s">
        <v>325</v>
      </c>
      <c r="B290" s="2" t="s">
        <v>621</v>
      </c>
      <c r="C290" s="2" t="s">
        <v>25</v>
      </c>
      <c r="D290" s="3">
        <f t="shared" si="16"/>
        <v>0.17651063829787236</v>
      </c>
      <c r="E290" s="4">
        <f t="shared" si="17"/>
        <v>2.35</v>
      </c>
      <c r="F290" s="4">
        <f t="shared" si="18"/>
        <v>2.7648000000000001</v>
      </c>
      <c r="G290" s="4">
        <f t="shared" si="19"/>
        <v>0.41480000000000006</v>
      </c>
      <c r="H290" s="2" t="s">
        <v>26</v>
      </c>
      <c r="I290" s="2" t="s">
        <v>27</v>
      </c>
      <c r="J290" s="4">
        <v>1.175</v>
      </c>
      <c r="K290" s="4">
        <v>1.3824000000000001</v>
      </c>
      <c r="L290" s="4">
        <v>2</v>
      </c>
      <c r="M290" s="2" t="s">
        <v>622</v>
      </c>
      <c r="N290" s="2" t="s">
        <v>29</v>
      </c>
      <c r="O290" s="2" t="s">
        <v>554</v>
      </c>
      <c r="P290" s="2" t="s">
        <v>63</v>
      </c>
      <c r="Q290" s="2" t="s">
        <v>623</v>
      </c>
      <c r="R290" s="2" t="s">
        <v>560</v>
      </c>
      <c r="T290" s="2" t="s">
        <v>556</v>
      </c>
      <c r="U290" s="2" t="s">
        <v>624</v>
      </c>
      <c r="W290" s="2" t="s">
        <v>557</v>
      </c>
    </row>
    <row r="291" spans="1:23" x14ac:dyDescent="0.3">
      <c r="A291" s="2" t="s">
        <v>439</v>
      </c>
      <c r="B291" s="2" t="s">
        <v>440</v>
      </c>
      <c r="C291" s="2" t="s">
        <v>25</v>
      </c>
      <c r="D291" s="3">
        <f t="shared" si="16"/>
        <v>0.11111111111111115</v>
      </c>
      <c r="E291" s="4">
        <f t="shared" si="17"/>
        <v>6.3</v>
      </c>
      <c r="F291" s="4">
        <f t="shared" si="18"/>
        <v>7</v>
      </c>
      <c r="G291" s="4">
        <f t="shared" si="19"/>
        <v>0.70000000000000018</v>
      </c>
      <c r="H291" s="2" t="s">
        <v>26</v>
      </c>
      <c r="I291" s="2" t="s">
        <v>27</v>
      </c>
      <c r="J291" s="4">
        <v>0.9</v>
      </c>
      <c r="K291" s="4">
        <v>1</v>
      </c>
      <c r="L291" s="4">
        <v>7</v>
      </c>
      <c r="M291" s="2" t="s">
        <v>55</v>
      </c>
      <c r="N291" s="2" t="s">
        <v>29</v>
      </c>
      <c r="O291" s="2" t="s">
        <v>349</v>
      </c>
      <c r="P291" s="2" t="s">
        <v>350</v>
      </c>
      <c r="Q291" s="2" t="s">
        <v>56</v>
      </c>
      <c r="R291" s="2" t="s">
        <v>351</v>
      </c>
      <c r="T291" s="2" t="s">
        <v>352</v>
      </c>
      <c r="U291" s="2" t="s">
        <v>441</v>
      </c>
      <c r="W291" s="2" t="s">
        <v>353</v>
      </c>
    </row>
    <row r="292" spans="1:23" x14ac:dyDescent="0.3">
      <c r="A292" s="2" t="s">
        <v>225</v>
      </c>
      <c r="B292" s="2" t="s">
        <v>574</v>
      </c>
      <c r="C292" s="2" t="s">
        <v>25</v>
      </c>
      <c r="D292" s="3">
        <f t="shared" si="16"/>
        <v>0.12328767123287668</v>
      </c>
      <c r="E292" s="4">
        <f t="shared" si="17"/>
        <v>1.46</v>
      </c>
      <c r="F292" s="4">
        <f t="shared" si="18"/>
        <v>1.64</v>
      </c>
      <c r="G292" s="4">
        <f t="shared" si="19"/>
        <v>0.17999999999999994</v>
      </c>
      <c r="H292" s="2" t="s">
        <v>26</v>
      </c>
      <c r="I292" s="2" t="s">
        <v>27</v>
      </c>
      <c r="J292" s="4">
        <v>0.73</v>
      </c>
      <c r="K292" s="4">
        <v>0.82</v>
      </c>
      <c r="L292" s="4">
        <v>2</v>
      </c>
      <c r="M292" s="2" t="s">
        <v>55</v>
      </c>
      <c r="N292" s="2" t="s">
        <v>29</v>
      </c>
      <c r="O292" s="2" t="s">
        <v>554</v>
      </c>
      <c r="P292" s="2" t="s">
        <v>63</v>
      </c>
      <c r="Q292" s="2" t="s">
        <v>56</v>
      </c>
      <c r="R292" s="2" t="s">
        <v>560</v>
      </c>
      <c r="T292" s="2" t="s">
        <v>556</v>
      </c>
      <c r="U292" s="2" t="s">
        <v>575</v>
      </c>
      <c r="W292" s="2" t="s">
        <v>557</v>
      </c>
    </row>
    <row r="293" spans="1:23" x14ac:dyDescent="0.3">
      <c r="A293" s="2" t="s">
        <v>212</v>
      </c>
      <c r="B293" s="2" t="s">
        <v>427</v>
      </c>
      <c r="C293" s="2" t="s">
        <v>25</v>
      </c>
      <c r="D293" s="3">
        <f t="shared" si="16"/>
        <v>3.896103896103903E-2</v>
      </c>
      <c r="E293" s="4">
        <f t="shared" si="17"/>
        <v>110.88</v>
      </c>
      <c r="F293" s="4">
        <f t="shared" si="18"/>
        <v>115.2</v>
      </c>
      <c r="G293" s="4">
        <f t="shared" si="19"/>
        <v>4.3200000000000074</v>
      </c>
      <c r="H293" s="2" t="s">
        <v>26</v>
      </c>
      <c r="I293" s="2" t="s">
        <v>27</v>
      </c>
      <c r="J293" s="4">
        <v>0.77</v>
      </c>
      <c r="K293" s="4">
        <v>0.8</v>
      </c>
      <c r="L293" s="4">
        <v>144</v>
      </c>
      <c r="M293" s="2" t="s">
        <v>428</v>
      </c>
      <c r="N293" s="2" t="s">
        <v>29</v>
      </c>
      <c r="O293" s="2" t="s">
        <v>349</v>
      </c>
      <c r="P293" s="2" t="s">
        <v>350</v>
      </c>
      <c r="Q293" s="2" t="s">
        <v>429</v>
      </c>
      <c r="R293" s="2" t="s">
        <v>409</v>
      </c>
      <c r="T293" s="2" t="s">
        <v>410</v>
      </c>
      <c r="U293" s="2" t="s">
        <v>430</v>
      </c>
      <c r="W293" s="2" t="s">
        <v>412</v>
      </c>
    </row>
    <row r="294" spans="1:23" ht="20.399999999999999" x14ac:dyDescent="0.3">
      <c r="A294" s="2" t="s">
        <v>325</v>
      </c>
      <c r="B294" s="2" t="s">
        <v>431</v>
      </c>
      <c r="C294" s="2" t="s">
        <v>25</v>
      </c>
      <c r="D294" s="3">
        <f t="shared" si="16"/>
        <v>0.1290322580645161</v>
      </c>
      <c r="E294" s="4">
        <f t="shared" si="17"/>
        <v>3.41</v>
      </c>
      <c r="F294" s="4">
        <f t="shared" si="18"/>
        <v>3.85</v>
      </c>
      <c r="G294" s="4">
        <f t="shared" si="19"/>
        <v>0.43999999999999995</v>
      </c>
      <c r="H294" s="2" t="s">
        <v>26</v>
      </c>
      <c r="I294" s="2" t="s">
        <v>27</v>
      </c>
      <c r="J294" s="4">
        <v>0.68200000000000005</v>
      </c>
      <c r="K294" s="4">
        <v>0.77</v>
      </c>
      <c r="L294" s="4">
        <v>5</v>
      </c>
      <c r="M294" s="2" t="s">
        <v>55</v>
      </c>
      <c r="N294" s="2" t="s">
        <v>29</v>
      </c>
      <c r="O294" s="2" t="s">
        <v>349</v>
      </c>
      <c r="P294" s="2" t="s">
        <v>350</v>
      </c>
      <c r="Q294" s="2" t="s">
        <v>56</v>
      </c>
      <c r="R294" s="2" t="s">
        <v>351</v>
      </c>
      <c r="T294" s="2" t="s">
        <v>352</v>
      </c>
      <c r="U294" s="2" t="s">
        <v>432</v>
      </c>
      <c r="W294" s="2" t="s">
        <v>353</v>
      </c>
    </row>
    <row r="295" spans="1:23" x14ac:dyDescent="0.3">
      <c r="A295" s="2" t="s">
        <v>439</v>
      </c>
      <c r="B295" s="2" t="s">
        <v>604</v>
      </c>
      <c r="C295" s="2" t="s">
        <v>25</v>
      </c>
      <c r="D295" s="3">
        <f t="shared" si="16"/>
        <v>0.13235294117647053</v>
      </c>
      <c r="E295" s="4">
        <f t="shared" si="17"/>
        <v>0.68</v>
      </c>
      <c r="F295" s="4">
        <f t="shared" si="18"/>
        <v>0.77</v>
      </c>
      <c r="G295" s="4">
        <f t="shared" si="19"/>
        <v>8.9999999999999969E-2</v>
      </c>
      <c r="H295" s="2" t="s">
        <v>26</v>
      </c>
      <c r="I295" s="2" t="s">
        <v>27</v>
      </c>
      <c r="J295" s="4">
        <v>0.68</v>
      </c>
      <c r="K295" s="4">
        <v>0.77</v>
      </c>
      <c r="L295" s="4">
        <v>1</v>
      </c>
      <c r="M295" s="2" t="s">
        <v>55</v>
      </c>
      <c r="N295" s="2" t="s">
        <v>29</v>
      </c>
      <c r="O295" s="2" t="s">
        <v>554</v>
      </c>
      <c r="P295" s="2" t="s">
        <v>63</v>
      </c>
      <c r="Q295" s="2" t="s">
        <v>56</v>
      </c>
      <c r="R295" s="2" t="s">
        <v>560</v>
      </c>
      <c r="T295" s="2" t="s">
        <v>556</v>
      </c>
      <c r="U295" s="2" t="s">
        <v>605</v>
      </c>
      <c r="W295" s="2" t="s">
        <v>557</v>
      </c>
    </row>
    <row r="296" spans="1:23" x14ac:dyDescent="0.3">
      <c r="A296" s="2" t="s">
        <v>305</v>
      </c>
      <c r="B296" s="2" t="s">
        <v>473</v>
      </c>
      <c r="C296" s="2" t="s">
        <v>25</v>
      </c>
      <c r="D296" s="3">
        <f t="shared" si="16"/>
        <v>0.12360139860139885</v>
      </c>
      <c r="E296" s="4">
        <f t="shared" si="17"/>
        <v>3.4319999999999995</v>
      </c>
      <c r="F296" s="4">
        <f t="shared" si="18"/>
        <v>3.8562000000000003</v>
      </c>
      <c r="G296" s="4">
        <f t="shared" si="19"/>
        <v>0.4242000000000008</v>
      </c>
      <c r="H296" s="2" t="s">
        <v>26</v>
      </c>
      <c r="I296" s="2" t="s">
        <v>27</v>
      </c>
      <c r="J296" s="4">
        <v>0.57199999999999995</v>
      </c>
      <c r="K296" s="4">
        <v>0.64270000000000005</v>
      </c>
      <c r="L296" s="4">
        <v>6</v>
      </c>
      <c r="M296" s="2" t="s">
        <v>174</v>
      </c>
      <c r="N296" s="2" t="s">
        <v>29</v>
      </c>
      <c r="O296" s="2" t="s">
        <v>349</v>
      </c>
      <c r="P296" s="2" t="s">
        <v>350</v>
      </c>
      <c r="Q296" s="2" t="s">
        <v>175</v>
      </c>
      <c r="R296" s="2" t="s">
        <v>351</v>
      </c>
      <c r="T296" s="2" t="s">
        <v>352</v>
      </c>
      <c r="U296" s="2" t="s">
        <v>474</v>
      </c>
      <c r="W296" s="2" t="s">
        <v>353</v>
      </c>
    </row>
    <row r="297" spans="1:23" x14ac:dyDescent="0.3">
      <c r="A297" s="2" t="s">
        <v>439</v>
      </c>
      <c r="B297" s="2" t="s">
        <v>598</v>
      </c>
      <c r="C297" s="2" t="s">
        <v>25</v>
      </c>
      <c r="D297" s="3">
        <f t="shared" si="16"/>
        <v>0.14285714285714277</v>
      </c>
      <c r="E297" s="4">
        <f t="shared" si="17"/>
        <v>0.56000000000000005</v>
      </c>
      <c r="F297" s="4">
        <f t="shared" si="18"/>
        <v>0.64</v>
      </c>
      <c r="G297" s="4">
        <f t="shared" si="19"/>
        <v>7.999999999999996E-2</v>
      </c>
      <c r="H297" s="2" t="s">
        <v>26</v>
      </c>
      <c r="I297" s="2" t="s">
        <v>27</v>
      </c>
      <c r="J297" s="4">
        <v>0.56000000000000005</v>
      </c>
      <c r="K297" s="4">
        <v>0.64</v>
      </c>
      <c r="L297" s="4">
        <v>1</v>
      </c>
      <c r="M297" s="2" t="s">
        <v>525</v>
      </c>
      <c r="N297" s="2" t="s">
        <v>29</v>
      </c>
      <c r="O297" s="2" t="s">
        <v>554</v>
      </c>
      <c r="P297" s="2" t="s">
        <v>63</v>
      </c>
      <c r="Q297" s="2" t="s">
        <v>526</v>
      </c>
      <c r="R297" s="2" t="s">
        <v>560</v>
      </c>
      <c r="T297" s="2" t="s">
        <v>556</v>
      </c>
      <c r="U297" s="2" t="s">
        <v>599</v>
      </c>
      <c r="W297" s="2" t="s">
        <v>557</v>
      </c>
    </row>
    <row r="298" spans="1:23" x14ac:dyDescent="0.3">
      <c r="A298" s="2" t="s">
        <v>212</v>
      </c>
      <c r="B298" s="2" t="s">
        <v>213</v>
      </c>
      <c r="C298" s="2" t="s">
        <v>25</v>
      </c>
      <c r="D298" s="3">
        <f t="shared" si="16"/>
        <v>0.12664232044662718</v>
      </c>
      <c r="E298" s="4">
        <f t="shared" si="17"/>
        <v>12.887852459016393</v>
      </c>
      <c r="F298" s="4">
        <f t="shared" si="18"/>
        <v>14.52</v>
      </c>
      <c r="G298" s="4">
        <f t="shared" si="19"/>
        <v>1.6321475409836061</v>
      </c>
      <c r="H298" s="2" t="s">
        <v>26</v>
      </c>
      <c r="I298" s="2" t="s">
        <v>27</v>
      </c>
      <c r="J298" s="4">
        <v>0.53699385245901643</v>
      </c>
      <c r="K298" s="4">
        <v>0.60499999999999998</v>
      </c>
      <c r="L298" s="4">
        <v>24</v>
      </c>
      <c r="M298" s="2" t="s">
        <v>214</v>
      </c>
      <c r="N298" s="2" t="s">
        <v>29</v>
      </c>
      <c r="O298" s="2" t="s">
        <v>349</v>
      </c>
      <c r="P298" s="2" t="s">
        <v>350</v>
      </c>
      <c r="Q298" s="2" t="s">
        <v>215</v>
      </c>
      <c r="R298" s="2" t="s">
        <v>351</v>
      </c>
      <c r="T298" s="2" t="s">
        <v>352</v>
      </c>
      <c r="U298" s="2" t="s">
        <v>216</v>
      </c>
      <c r="W298" s="2" t="s">
        <v>353</v>
      </c>
    </row>
    <row r="299" spans="1:23" x14ac:dyDescent="0.3">
      <c r="A299" s="2" t="s">
        <v>305</v>
      </c>
      <c r="B299" s="2" t="s">
        <v>645</v>
      </c>
      <c r="C299" s="2" t="s">
        <v>25</v>
      </c>
      <c r="D299" s="3">
        <f t="shared" si="16"/>
        <v>0.13839285714285715</v>
      </c>
      <c r="E299" s="4">
        <f t="shared" si="17"/>
        <v>0.89600000000000002</v>
      </c>
      <c r="F299" s="4">
        <f t="shared" si="18"/>
        <v>1.02</v>
      </c>
      <c r="G299" s="4">
        <f t="shared" si="19"/>
        <v>0.124</v>
      </c>
      <c r="H299" s="2" t="s">
        <v>26</v>
      </c>
      <c r="I299" s="2" t="s">
        <v>27</v>
      </c>
      <c r="J299" s="4">
        <v>0.44800000000000001</v>
      </c>
      <c r="K299" s="4">
        <v>0.51</v>
      </c>
      <c r="L299" s="4">
        <v>2</v>
      </c>
      <c r="M299" s="2" t="s">
        <v>55</v>
      </c>
      <c r="N299" s="2" t="s">
        <v>29</v>
      </c>
      <c r="O299" s="2" t="s">
        <v>554</v>
      </c>
      <c r="P299" s="2" t="s">
        <v>63</v>
      </c>
      <c r="Q299" s="2" t="s">
        <v>56</v>
      </c>
      <c r="R299" s="2" t="s">
        <v>560</v>
      </c>
      <c r="T299" s="2" t="s">
        <v>556</v>
      </c>
      <c r="U299" s="2" t="s">
        <v>646</v>
      </c>
      <c r="W299" s="2" t="s">
        <v>557</v>
      </c>
    </row>
    <row r="300" spans="1:23" x14ac:dyDescent="0.3">
      <c r="A300" s="2" t="s">
        <v>357</v>
      </c>
      <c r="B300" s="2" t="s">
        <v>641</v>
      </c>
      <c r="C300" s="2" t="s">
        <v>25</v>
      </c>
      <c r="D300" s="3">
        <f t="shared" si="16"/>
        <v>0.14143920595533496</v>
      </c>
      <c r="E300" s="4">
        <f t="shared" si="17"/>
        <v>0.40300000000000002</v>
      </c>
      <c r="F300" s="4">
        <f t="shared" si="18"/>
        <v>0.46</v>
      </c>
      <c r="G300" s="4">
        <f t="shared" si="19"/>
        <v>5.6999999999999995E-2</v>
      </c>
      <c r="H300" s="2" t="s">
        <v>26</v>
      </c>
      <c r="I300" s="2" t="s">
        <v>27</v>
      </c>
      <c r="J300" s="4">
        <v>0.40300000000000002</v>
      </c>
      <c r="K300" s="4">
        <v>0.46</v>
      </c>
      <c r="L300" s="4">
        <v>1</v>
      </c>
      <c r="M300" s="2" t="s">
        <v>55</v>
      </c>
      <c r="N300" s="2" t="s">
        <v>29</v>
      </c>
      <c r="O300" s="2" t="s">
        <v>554</v>
      </c>
      <c r="P300" s="2" t="s">
        <v>63</v>
      </c>
      <c r="Q300" s="2" t="s">
        <v>56</v>
      </c>
      <c r="R300" s="2" t="s">
        <v>560</v>
      </c>
      <c r="T300" s="2" t="s">
        <v>556</v>
      </c>
      <c r="U300" s="2" t="s">
        <v>642</v>
      </c>
      <c r="W300" s="2" t="s">
        <v>557</v>
      </c>
    </row>
    <row r="301" spans="1:23" x14ac:dyDescent="0.3">
      <c r="A301" s="2" t="s">
        <v>305</v>
      </c>
      <c r="B301" s="2" t="s">
        <v>643</v>
      </c>
      <c r="C301" s="2" t="s">
        <v>25</v>
      </c>
      <c r="D301" s="3">
        <f t="shared" si="16"/>
        <v>0.12994350282485889</v>
      </c>
      <c r="E301" s="4">
        <f t="shared" si="17"/>
        <v>1.4159999999999999</v>
      </c>
      <c r="F301" s="4">
        <f t="shared" si="18"/>
        <v>1.6</v>
      </c>
      <c r="G301" s="4">
        <f t="shared" si="19"/>
        <v>0.18400000000000016</v>
      </c>
      <c r="H301" s="2" t="s">
        <v>26</v>
      </c>
      <c r="I301" s="2" t="s">
        <v>27</v>
      </c>
      <c r="J301" s="4">
        <v>0.35399999999999998</v>
      </c>
      <c r="K301" s="4">
        <v>0.4</v>
      </c>
      <c r="L301" s="4">
        <v>4</v>
      </c>
      <c r="M301" s="2" t="s">
        <v>55</v>
      </c>
      <c r="N301" s="2" t="s">
        <v>29</v>
      </c>
      <c r="O301" s="2" t="s">
        <v>554</v>
      </c>
      <c r="P301" s="2" t="s">
        <v>63</v>
      </c>
      <c r="Q301" s="2" t="s">
        <v>56</v>
      </c>
      <c r="R301" s="2" t="s">
        <v>560</v>
      </c>
      <c r="T301" s="2" t="s">
        <v>556</v>
      </c>
      <c r="U301" s="2" t="s">
        <v>644</v>
      </c>
      <c r="W301" s="2" t="s">
        <v>557</v>
      </c>
    </row>
    <row r="302" spans="1:23" x14ac:dyDescent="0.3">
      <c r="A302" s="2" t="s">
        <v>305</v>
      </c>
      <c r="B302" s="2" t="s">
        <v>475</v>
      </c>
      <c r="C302" s="2" t="s">
        <v>25</v>
      </c>
      <c r="D302" s="3">
        <f t="shared" si="16"/>
        <v>0.1111111111111111</v>
      </c>
      <c r="E302" s="4">
        <f t="shared" si="17"/>
        <v>2.1059999999999999</v>
      </c>
      <c r="F302" s="4">
        <f t="shared" si="18"/>
        <v>2.34</v>
      </c>
      <c r="G302" s="4">
        <f t="shared" si="19"/>
        <v>0.23399999999999999</v>
      </c>
      <c r="H302" s="2" t="s">
        <v>26</v>
      </c>
      <c r="I302" s="2" t="s">
        <v>27</v>
      </c>
      <c r="J302" s="4">
        <v>0.35099999999999998</v>
      </c>
      <c r="K302" s="4">
        <v>0.39</v>
      </c>
      <c r="L302" s="4">
        <v>6</v>
      </c>
      <c r="M302" s="2" t="s">
        <v>55</v>
      </c>
      <c r="N302" s="2" t="s">
        <v>29</v>
      </c>
      <c r="O302" s="2" t="s">
        <v>349</v>
      </c>
      <c r="P302" s="2" t="s">
        <v>350</v>
      </c>
      <c r="Q302" s="2" t="s">
        <v>56</v>
      </c>
      <c r="R302" s="2" t="s">
        <v>351</v>
      </c>
      <c r="T302" s="2" t="s">
        <v>352</v>
      </c>
      <c r="U302" s="2" t="s">
        <v>476</v>
      </c>
      <c r="W302" s="2" t="s">
        <v>353</v>
      </c>
    </row>
    <row r="303" spans="1:23" x14ac:dyDescent="0.3">
      <c r="A303" s="2" t="s">
        <v>357</v>
      </c>
      <c r="B303" s="2" t="s">
        <v>450</v>
      </c>
      <c r="C303" s="2" t="s">
        <v>25</v>
      </c>
      <c r="D303" s="3">
        <f t="shared" si="16"/>
        <v>0.12375533428164999</v>
      </c>
      <c r="E303" s="4">
        <f t="shared" si="17"/>
        <v>6.7488000000000001</v>
      </c>
      <c r="F303" s="4">
        <f t="shared" si="18"/>
        <v>7.5839999999999996</v>
      </c>
      <c r="G303" s="4">
        <f t="shared" si="19"/>
        <v>0.8351999999999995</v>
      </c>
      <c r="H303" s="2" t="s">
        <v>26</v>
      </c>
      <c r="I303" s="2" t="s">
        <v>27</v>
      </c>
      <c r="J303" s="4">
        <v>0.28120000000000001</v>
      </c>
      <c r="K303" s="4">
        <v>0.316</v>
      </c>
      <c r="L303" s="4">
        <v>24</v>
      </c>
      <c r="M303" s="2" t="s">
        <v>451</v>
      </c>
      <c r="N303" s="2" t="s">
        <v>29</v>
      </c>
      <c r="O303" s="2" t="s">
        <v>349</v>
      </c>
      <c r="P303" s="2" t="s">
        <v>350</v>
      </c>
      <c r="Q303" s="2" t="s">
        <v>452</v>
      </c>
      <c r="R303" s="2" t="s">
        <v>375</v>
      </c>
      <c r="T303" s="2" t="s">
        <v>376</v>
      </c>
      <c r="U303" s="2" t="s">
        <v>453</v>
      </c>
      <c r="W303" s="2" t="s">
        <v>378</v>
      </c>
    </row>
    <row r="304" spans="1:23" x14ac:dyDescent="0.3">
      <c r="A304" s="2" t="s">
        <v>225</v>
      </c>
      <c r="B304" s="2" t="s">
        <v>576</v>
      </c>
      <c r="C304" s="2" t="s">
        <v>25</v>
      </c>
      <c r="D304" s="3">
        <f t="shared" si="16"/>
        <v>0.15241635687732333</v>
      </c>
      <c r="E304" s="4">
        <f t="shared" si="17"/>
        <v>0.26900000000000002</v>
      </c>
      <c r="F304" s="4">
        <f t="shared" si="18"/>
        <v>0.31</v>
      </c>
      <c r="G304" s="4">
        <f t="shared" si="19"/>
        <v>4.0999999999999981E-2</v>
      </c>
      <c r="H304" s="2" t="s">
        <v>26</v>
      </c>
      <c r="I304" s="2" t="s">
        <v>27</v>
      </c>
      <c r="J304" s="4">
        <v>0.26900000000000002</v>
      </c>
      <c r="K304" s="4">
        <v>0.31</v>
      </c>
      <c r="L304" s="4">
        <v>1</v>
      </c>
      <c r="M304" s="2" t="s">
        <v>519</v>
      </c>
      <c r="N304" s="2" t="s">
        <v>29</v>
      </c>
      <c r="O304" s="2" t="s">
        <v>554</v>
      </c>
      <c r="P304" s="2" t="s">
        <v>63</v>
      </c>
      <c r="Q304" s="2" t="s">
        <v>520</v>
      </c>
      <c r="R304" s="2" t="s">
        <v>560</v>
      </c>
      <c r="T304" s="2" t="s">
        <v>556</v>
      </c>
      <c r="U304" s="2" t="s">
        <v>577</v>
      </c>
      <c r="W304" s="2" t="s">
        <v>557</v>
      </c>
    </row>
    <row r="305" spans="1:23" x14ac:dyDescent="0.3">
      <c r="A305" s="2" t="s">
        <v>23</v>
      </c>
      <c r="B305" s="2" t="s">
        <v>54</v>
      </c>
      <c r="C305" s="2" t="s">
        <v>25</v>
      </c>
      <c r="D305" s="3" t="e">
        <f t="shared" si="16"/>
        <v>#DIV/0!</v>
      </c>
      <c r="E305" s="4">
        <f t="shared" si="17"/>
        <v>0</v>
      </c>
      <c r="F305" s="4">
        <f t="shared" si="18"/>
        <v>0</v>
      </c>
      <c r="G305" s="4">
        <f t="shared" si="19"/>
        <v>0</v>
      </c>
      <c r="H305" s="2" t="s">
        <v>26</v>
      </c>
      <c r="I305" s="2" t="s">
        <v>27</v>
      </c>
      <c r="J305" s="4">
        <v>0</v>
      </c>
      <c r="K305" s="4">
        <v>0</v>
      </c>
      <c r="L305" s="4">
        <v>2</v>
      </c>
      <c r="M305" s="2" t="s">
        <v>55</v>
      </c>
      <c r="N305" s="2" t="s">
        <v>29</v>
      </c>
      <c r="O305" s="2" t="s">
        <v>30</v>
      </c>
      <c r="P305" s="2" t="s">
        <v>31</v>
      </c>
      <c r="Q305" s="2" t="s">
        <v>56</v>
      </c>
      <c r="R305" s="2" t="s">
        <v>57</v>
      </c>
      <c r="T305" s="2" t="s">
        <v>58</v>
      </c>
      <c r="U305" s="2" t="s">
        <v>59</v>
      </c>
      <c r="W305" s="2" t="s">
        <v>60</v>
      </c>
    </row>
    <row r="306" spans="1:23" ht="20.399999999999999" x14ac:dyDescent="0.3">
      <c r="A306" s="2" t="s">
        <v>23</v>
      </c>
      <c r="B306" s="2" t="s">
        <v>154</v>
      </c>
      <c r="C306" s="2" t="s">
        <v>25</v>
      </c>
      <c r="D306" s="3" t="e">
        <f t="shared" si="16"/>
        <v>#DIV/0!</v>
      </c>
      <c r="E306" s="4">
        <f t="shared" si="17"/>
        <v>0</v>
      </c>
      <c r="F306" s="4">
        <f t="shared" si="18"/>
        <v>0</v>
      </c>
      <c r="G306" s="4">
        <f t="shared" si="19"/>
        <v>0</v>
      </c>
      <c r="H306" s="2" t="s">
        <v>26</v>
      </c>
      <c r="I306" s="2" t="s">
        <v>27</v>
      </c>
      <c r="J306" s="4">
        <v>0</v>
      </c>
      <c r="K306" s="4">
        <v>0</v>
      </c>
      <c r="L306" s="4">
        <v>8</v>
      </c>
      <c r="M306" s="2" t="s">
        <v>155</v>
      </c>
      <c r="N306" s="2" t="s">
        <v>29</v>
      </c>
      <c r="O306" s="2" t="s">
        <v>30</v>
      </c>
      <c r="P306" s="2" t="s">
        <v>31</v>
      </c>
      <c r="Q306" s="2" t="s">
        <v>156</v>
      </c>
      <c r="R306" s="2" t="s">
        <v>68</v>
      </c>
      <c r="T306" s="2" t="s">
        <v>69</v>
      </c>
      <c r="U306" s="2" t="s">
        <v>157</v>
      </c>
      <c r="W306" s="2" t="s">
        <v>71</v>
      </c>
    </row>
    <row r="307" spans="1:23" ht="20.399999999999999" x14ac:dyDescent="0.3">
      <c r="A307" s="2" t="s">
        <v>23</v>
      </c>
      <c r="B307" s="2" t="s">
        <v>154</v>
      </c>
      <c r="C307" s="2" t="s">
        <v>25</v>
      </c>
      <c r="D307" s="3" t="e">
        <f t="shared" si="16"/>
        <v>#DIV/0!</v>
      </c>
      <c r="E307" s="4">
        <f t="shared" si="17"/>
        <v>0</v>
      </c>
      <c r="F307" s="4">
        <f t="shared" si="18"/>
        <v>0</v>
      </c>
      <c r="G307" s="4">
        <f t="shared" si="19"/>
        <v>0</v>
      </c>
      <c r="H307" s="2" t="s">
        <v>26</v>
      </c>
      <c r="I307" s="2" t="s">
        <v>27</v>
      </c>
      <c r="J307" s="4">
        <v>0</v>
      </c>
      <c r="K307" s="4">
        <v>0</v>
      </c>
      <c r="L307" s="4">
        <v>2</v>
      </c>
      <c r="M307" s="2" t="s">
        <v>155</v>
      </c>
      <c r="N307" s="2" t="s">
        <v>29</v>
      </c>
      <c r="O307" s="2" t="s">
        <v>30</v>
      </c>
      <c r="P307" s="2" t="s">
        <v>31</v>
      </c>
      <c r="Q307" s="2" t="s">
        <v>156</v>
      </c>
      <c r="R307" s="2" t="s">
        <v>86</v>
      </c>
      <c r="T307" s="2" t="s">
        <v>87</v>
      </c>
      <c r="U307" s="2" t="s">
        <v>157</v>
      </c>
      <c r="W307" s="2" t="s">
        <v>89</v>
      </c>
    </row>
    <row r="308" spans="1:23" ht="20.399999999999999" x14ac:dyDescent="0.3">
      <c r="A308" s="2" t="s">
        <v>23</v>
      </c>
      <c r="B308" s="2" t="s">
        <v>154</v>
      </c>
      <c r="C308" s="2" t="s">
        <v>25</v>
      </c>
      <c r="D308" s="3" t="e">
        <f t="shared" si="16"/>
        <v>#DIV/0!</v>
      </c>
      <c r="E308" s="4">
        <f t="shared" si="17"/>
        <v>0</v>
      </c>
      <c r="F308" s="4">
        <f t="shared" si="18"/>
        <v>0</v>
      </c>
      <c r="G308" s="4">
        <f t="shared" si="19"/>
        <v>0</v>
      </c>
      <c r="H308" s="2" t="s">
        <v>26</v>
      </c>
      <c r="I308" s="2" t="s">
        <v>27</v>
      </c>
      <c r="J308" s="4">
        <v>0</v>
      </c>
      <c r="K308" s="4">
        <v>0</v>
      </c>
      <c r="L308" s="4">
        <v>1</v>
      </c>
      <c r="M308" s="2" t="s">
        <v>155</v>
      </c>
      <c r="N308" s="2" t="s">
        <v>29</v>
      </c>
      <c r="O308" s="2" t="s">
        <v>30</v>
      </c>
      <c r="P308" s="2" t="s">
        <v>31</v>
      </c>
      <c r="Q308" s="2" t="s">
        <v>156</v>
      </c>
      <c r="R308" s="2" t="s">
        <v>74</v>
      </c>
      <c r="T308" s="2" t="s">
        <v>75</v>
      </c>
      <c r="U308" s="2" t="s">
        <v>157</v>
      </c>
      <c r="W308" s="2" t="s">
        <v>76</v>
      </c>
    </row>
    <row r="309" spans="1:23" ht="20.399999999999999" x14ac:dyDescent="0.3">
      <c r="A309" s="2" t="s">
        <v>23</v>
      </c>
      <c r="B309" s="2" t="s">
        <v>154</v>
      </c>
      <c r="C309" s="2" t="s">
        <v>25</v>
      </c>
      <c r="D309" s="3" t="e">
        <f t="shared" si="16"/>
        <v>#DIV/0!</v>
      </c>
      <c r="E309" s="4">
        <f t="shared" si="17"/>
        <v>0</v>
      </c>
      <c r="F309" s="4">
        <f t="shared" si="18"/>
        <v>0</v>
      </c>
      <c r="G309" s="4">
        <f t="shared" si="19"/>
        <v>0</v>
      </c>
      <c r="H309" s="2" t="s">
        <v>26</v>
      </c>
      <c r="I309" s="2" t="s">
        <v>27</v>
      </c>
      <c r="J309" s="4">
        <v>0</v>
      </c>
      <c r="K309" s="4">
        <v>0</v>
      </c>
      <c r="L309" s="4">
        <v>2</v>
      </c>
      <c r="M309" s="2" t="s">
        <v>155</v>
      </c>
      <c r="N309" s="2" t="s">
        <v>29</v>
      </c>
      <c r="O309" s="2" t="s">
        <v>30</v>
      </c>
      <c r="P309" s="2" t="s">
        <v>31</v>
      </c>
      <c r="Q309" s="2" t="s">
        <v>156</v>
      </c>
      <c r="R309" s="2" t="s">
        <v>79</v>
      </c>
      <c r="T309" s="2" t="s">
        <v>80</v>
      </c>
      <c r="U309" s="2" t="s">
        <v>157</v>
      </c>
      <c r="W309" s="2" t="s">
        <v>81</v>
      </c>
    </row>
    <row r="310" spans="1:23" ht="20.399999999999999" x14ac:dyDescent="0.3">
      <c r="A310" s="2" t="s">
        <v>23</v>
      </c>
      <c r="B310" s="2" t="s">
        <v>154</v>
      </c>
      <c r="C310" s="2" t="s">
        <v>25</v>
      </c>
      <c r="D310" s="3" t="e">
        <f t="shared" si="16"/>
        <v>#DIV/0!</v>
      </c>
      <c r="E310" s="4">
        <f t="shared" si="17"/>
        <v>0</v>
      </c>
      <c r="F310" s="4">
        <f t="shared" si="18"/>
        <v>0</v>
      </c>
      <c r="G310" s="4">
        <f t="shared" si="19"/>
        <v>0</v>
      </c>
      <c r="H310" s="2" t="s">
        <v>26</v>
      </c>
      <c r="I310" s="2" t="s">
        <v>27</v>
      </c>
      <c r="J310" s="4">
        <v>0</v>
      </c>
      <c r="K310" s="4">
        <v>0</v>
      </c>
      <c r="L310" s="4">
        <v>1</v>
      </c>
      <c r="M310" s="2" t="s">
        <v>155</v>
      </c>
      <c r="N310" s="2" t="s">
        <v>29</v>
      </c>
      <c r="O310" s="2" t="s">
        <v>30</v>
      </c>
      <c r="P310" s="2" t="s">
        <v>31</v>
      </c>
      <c r="Q310" s="2" t="s">
        <v>156</v>
      </c>
      <c r="R310" s="2" t="s">
        <v>82</v>
      </c>
      <c r="T310" s="2" t="s">
        <v>83</v>
      </c>
      <c r="U310" s="2" t="s">
        <v>157</v>
      </c>
      <c r="W310" s="2" t="s">
        <v>84</v>
      </c>
    </row>
    <row r="311" spans="1:23" ht="20.399999999999999" x14ac:dyDescent="0.3">
      <c r="A311" s="2" t="s">
        <v>23</v>
      </c>
      <c r="B311" s="2" t="s">
        <v>154</v>
      </c>
      <c r="C311" s="2" t="s">
        <v>25</v>
      </c>
      <c r="D311" s="3" t="e">
        <f t="shared" si="16"/>
        <v>#DIV/0!</v>
      </c>
      <c r="E311" s="4">
        <f t="shared" si="17"/>
        <v>0</v>
      </c>
      <c r="F311" s="4">
        <f t="shared" si="18"/>
        <v>0</v>
      </c>
      <c r="G311" s="4">
        <f t="shared" si="19"/>
        <v>0</v>
      </c>
      <c r="H311" s="2" t="s">
        <v>26</v>
      </c>
      <c r="I311" s="2" t="s">
        <v>27</v>
      </c>
      <c r="J311" s="4">
        <v>0</v>
      </c>
      <c r="K311" s="4">
        <v>0</v>
      </c>
      <c r="L311" s="4">
        <v>1</v>
      </c>
      <c r="M311" s="2" t="s">
        <v>155</v>
      </c>
      <c r="N311" s="2" t="s">
        <v>29</v>
      </c>
      <c r="O311" s="2" t="s">
        <v>30</v>
      </c>
      <c r="P311" s="2" t="s">
        <v>31</v>
      </c>
      <c r="Q311" s="2" t="s">
        <v>156</v>
      </c>
      <c r="R311" s="2" t="s">
        <v>92</v>
      </c>
      <c r="T311" s="2" t="s">
        <v>93</v>
      </c>
      <c r="U311" s="2" t="s">
        <v>157</v>
      </c>
      <c r="W311" s="2" t="s">
        <v>94</v>
      </c>
    </row>
    <row r="312" spans="1:23" x14ac:dyDescent="0.3">
      <c r="A312" s="2" t="s">
        <v>23</v>
      </c>
      <c r="B312" s="2" t="s">
        <v>54</v>
      </c>
      <c r="C312" s="2" t="s">
        <v>25</v>
      </c>
      <c r="D312" s="3" t="e">
        <f t="shared" si="16"/>
        <v>#DIV/0!</v>
      </c>
      <c r="E312" s="4">
        <f t="shared" si="17"/>
        <v>0</v>
      </c>
      <c r="F312" s="4">
        <f t="shared" si="18"/>
        <v>0</v>
      </c>
      <c r="G312" s="4">
        <f t="shared" si="19"/>
        <v>0</v>
      </c>
      <c r="H312" s="2" t="s">
        <v>26</v>
      </c>
      <c r="I312" s="2" t="s">
        <v>27</v>
      </c>
      <c r="J312" s="4">
        <v>0</v>
      </c>
      <c r="K312" s="4">
        <v>0</v>
      </c>
      <c r="L312" s="4">
        <v>4</v>
      </c>
      <c r="M312" s="2" t="s">
        <v>55</v>
      </c>
      <c r="N312" s="2" t="s">
        <v>29</v>
      </c>
      <c r="O312" s="2" t="s">
        <v>479</v>
      </c>
      <c r="P312" s="2" t="s">
        <v>480</v>
      </c>
      <c r="Q312" s="2" t="s">
        <v>56</v>
      </c>
      <c r="R312" s="2" t="s">
        <v>481</v>
      </c>
      <c r="T312" s="2" t="s">
        <v>482</v>
      </c>
      <c r="U312" s="2" t="s">
        <v>59</v>
      </c>
      <c r="W312" s="2" t="s">
        <v>483</v>
      </c>
    </row>
    <row r="313" spans="1:23" x14ac:dyDescent="0.3">
      <c r="A313" s="2" t="s">
        <v>23</v>
      </c>
      <c r="B313" s="2" t="s">
        <v>54</v>
      </c>
      <c r="C313" s="2" t="s">
        <v>25</v>
      </c>
      <c r="D313" s="3" t="e">
        <f t="shared" si="16"/>
        <v>#DIV/0!</v>
      </c>
      <c r="E313" s="4">
        <f t="shared" si="17"/>
        <v>0</v>
      </c>
      <c r="F313" s="4">
        <f t="shared" si="18"/>
        <v>0</v>
      </c>
      <c r="G313" s="4">
        <f t="shared" si="19"/>
        <v>0</v>
      </c>
      <c r="H313" s="2" t="s">
        <v>26</v>
      </c>
      <c r="I313" s="2" t="s">
        <v>27</v>
      </c>
      <c r="J313" s="4">
        <v>0</v>
      </c>
      <c r="K313" s="4">
        <v>0</v>
      </c>
      <c r="L313" s="4">
        <v>1</v>
      </c>
      <c r="M313" s="2" t="s">
        <v>55</v>
      </c>
      <c r="N313" s="2" t="s">
        <v>29</v>
      </c>
      <c r="O313" s="2" t="s">
        <v>479</v>
      </c>
      <c r="P313" s="2" t="s">
        <v>480</v>
      </c>
      <c r="Q313" s="2" t="s">
        <v>56</v>
      </c>
      <c r="R313" s="2" t="s">
        <v>484</v>
      </c>
      <c r="T313" s="2" t="s">
        <v>485</v>
      </c>
      <c r="U313" s="2" t="s">
        <v>59</v>
      </c>
      <c r="W313" s="2" t="s">
        <v>486</v>
      </c>
    </row>
    <row r="314" spans="1:23" ht="20.399999999999999" x14ac:dyDescent="0.3">
      <c r="A314" s="2" t="s">
        <v>23</v>
      </c>
      <c r="B314" s="2" t="s">
        <v>154</v>
      </c>
      <c r="C314" s="2" t="s">
        <v>25</v>
      </c>
      <c r="D314" s="3" t="e">
        <f t="shared" si="16"/>
        <v>#DIV/0!</v>
      </c>
      <c r="E314" s="4">
        <f t="shared" si="17"/>
        <v>0</v>
      </c>
      <c r="F314" s="4">
        <f t="shared" si="18"/>
        <v>0</v>
      </c>
      <c r="G314" s="4">
        <f t="shared" si="19"/>
        <v>0</v>
      </c>
      <c r="H314" s="2" t="s">
        <v>26</v>
      </c>
      <c r="I314" s="2" t="s">
        <v>27</v>
      </c>
      <c r="J314" s="4">
        <v>0</v>
      </c>
      <c r="K314" s="4">
        <v>0</v>
      </c>
      <c r="L314" s="4">
        <v>6</v>
      </c>
      <c r="M314" s="2" t="s">
        <v>155</v>
      </c>
      <c r="N314" s="2" t="s">
        <v>29</v>
      </c>
      <c r="O314" s="2" t="s">
        <v>500</v>
      </c>
      <c r="P314" s="2" t="s">
        <v>56</v>
      </c>
      <c r="Q314" s="2" t="s">
        <v>156</v>
      </c>
      <c r="R314" s="2" t="s">
        <v>541</v>
      </c>
      <c r="T314" s="2" t="s">
        <v>542</v>
      </c>
      <c r="U314" s="2" t="s">
        <v>157</v>
      </c>
      <c r="W314" s="5"/>
    </row>
    <row r="315" spans="1:23" ht="20.399999999999999" x14ac:dyDescent="0.3">
      <c r="A315" s="2" t="s">
        <v>23</v>
      </c>
      <c r="B315" s="2" t="s">
        <v>154</v>
      </c>
      <c r="C315" s="2" t="s">
        <v>25</v>
      </c>
      <c r="D315" s="3" t="e">
        <f t="shared" si="16"/>
        <v>#DIV/0!</v>
      </c>
      <c r="E315" s="4">
        <f t="shared" si="17"/>
        <v>0</v>
      </c>
      <c r="F315" s="4">
        <f t="shared" si="18"/>
        <v>0</v>
      </c>
      <c r="G315" s="4">
        <f t="shared" si="19"/>
        <v>0</v>
      </c>
      <c r="H315" s="2" t="s">
        <v>26</v>
      </c>
      <c r="I315" s="2" t="s">
        <v>27</v>
      </c>
      <c r="J315" s="4">
        <v>0</v>
      </c>
      <c r="K315" s="4">
        <v>0</v>
      </c>
      <c r="L315" s="4">
        <v>2</v>
      </c>
      <c r="M315" s="2" t="s">
        <v>155</v>
      </c>
      <c r="N315" s="2" t="s">
        <v>29</v>
      </c>
      <c r="O315" s="2" t="s">
        <v>500</v>
      </c>
      <c r="P315" s="2" t="s">
        <v>56</v>
      </c>
      <c r="Q315" s="2" t="s">
        <v>156</v>
      </c>
      <c r="R315" s="2" t="s">
        <v>538</v>
      </c>
      <c r="T315" s="2" t="s">
        <v>539</v>
      </c>
      <c r="U315" s="2" t="s">
        <v>157</v>
      </c>
      <c r="W315" s="2" t="s">
        <v>540</v>
      </c>
    </row>
    <row r="316" spans="1:23" ht="20.399999999999999" x14ac:dyDescent="0.3">
      <c r="A316" s="2" t="s">
        <v>23</v>
      </c>
      <c r="B316" s="2" t="s">
        <v>154</v>
      </c>
      <c r="C316" s="2" t="s">
        <v>25</v>
      </c>
      <c r="D316" s="3" t="e">
        <f t="shared" si="16"/>
        <v>#DIV/0!</v>
      </c>
      <c r="E316" s="4">
        <f t="shared" si="17"/>
        <v>0</v>
      </c>
      <c r="F316" s="4">
        <f t="shared" si="18"/>
        <v>0</v>
      </c>
      <c r="G316" s="4">
        <f t="shared" si="19"/>
        <v>0</v>
      </c>
      <c r="H316" s="2" t="s">
        <v>26</v>
      </c>
      <c r="I316" s="2" t="s">
        <v>27</v>
      </c>
      <c r="J316" s="4">
        <v>0</v>
      </c>
      <c r="K316" s="4">
        <v>0</v>
      </c>
      <c r="L316" s="4">
        <v>2</v>
      </c>
      <c r="M316" s="2" t="s">
        <v>155</v>
      </c>
      <c r="N316" s="2" t="s">
        <v>29</v>
      </c>
      <c r="O316" s="2" t="s">
        <v>500</v>
      </c>
      <c r="P316" s="2" t="s">
        <v>56</v>
      </c>
      <c r="Q316" s="2" t="s">
        <v>156</v>
      </c>
      <c r="R316" s="2" t="s">
        <v>535</v>
      </c>
      <c r="T316" s="2" t="s">
        <v>536</v>
      </c>
      <c r="U316" s="2" t="s">
        <v>157</v>
      </c>
      <c r="W316" s="2" t="s">
        <v>537</v>
      </c>
    </row>
    <row r="317" spans="1:23" ht="20.399999999999999" x14ac:dyDescent="0.3">
      <c r="A317" s="2" t="s">
        <v>23</v>
      </c>
      <c r="B317" s="2" t="s">
        <v>154</v>
      </c>
      <c r="C317" s="2" t="s">
        <v>25</v>
      </c>
      <c r="D317" s="3" t="e">
        <f t="shared" si="16"/>
        <v>#DIV/0!</v>
      </c>
      <c r="E317" s="4">
        <f t="shared" si="17"/>
        <v>0</v>
      </c>
      <c r="F317" s="4">
        <f t="shared" si="18"/>
        <v>0</v>
      </c>
      <c r="G317" s="4">
        <f t="shared" si="19"/>
        <v>0</v>
      </c>
      <c r="H317" s="2" t="s">
        <v>26</v>
      </c>
      <c r="I317" s="2" t="s">
        <v>27</v>
      </c>
      <c r="J317" s="4">
        <v>0</v>
      </c>
      <c r="K317" s="4">
        <v>0</v>
      </c>
      <c r="L317" s="4">
        <v>5</v>
      </c>
      <c r="M317" s="2" t="s">
        <v>155</v>
      </c>
      <c r="N317" s="2" t="s">
        <v>29</v>
      </c>
      <c r="O317" s="2" t="s">
        <v>500</v>
      </c>
      <c r="P317" s="2" t="s">
        <v>56</v>
      </c>
      <c r="Q317" s="2" t="s">
        <v>156</v>
      </c>
      <c r="R317" s="2" t="s">
        <v>546</v>
      </c>
      <c r="T317" s="2" t="s">
        <v>547</v>
      </c>
      <c r="U317" s="2" t="s">
        <v>157</v>
      </c>
      <c r="W317" s="2" t="s">
        <v>548</v>
      </c>
    </row>
    <row r="318" spans="1:23" ht="20.399999999999999" x14ac:dyDescent="0.3">
      <c r="A318" s="2" t="s">
        <v>23</v>
      </c>
      <c r="B318" s="2" t="s">
        <v>154</v>
      </c>
      <c r="C318" s="2" t="s">
        <v>25</v>
      </c>
      <c r="D318" s="3" t="e">
        <f t="shared" si="16"/>
        <v>#DIV/0!</v>
      </c>
      <c r="E318" s="4">
        <f t="shared" si="17"/>
        <v>0</v>
      </c>
      <c r="F318" s="4">
        <f t="shared" si="18"/>
        <v>0</v>
      </c>
      <c r="G318" s="4">
        <f t="shared" si="19"/>
        <v>0</v>
      </c>
      <c r="H318" s="2" t="s">
        <v>26</v>
      </c>
      <c r="I318" s="2" t="s">
        <v>27</v>
      </c>
      <c r="J318" s="4">
        <v>0</v>
      </c>
      <c r="K318" s="4">
        <v>0</v>
      </c>
      <c r="L318" s="4">
        <v>1</v>
      </c>
      <c r="M318" s="2" t="s">
        <v>155</v>
      </c>
      <c r="N318" s="2" t="s">
        <v>29</v>
      </c>
      <c r="O318" s="2" t="s">
        <v>500</v>
      </c>
      <c r="P318" s="2" t="s">
        <v>56</v>
      </c>
      <c r="Q318" s="2" t="s">
        <v>156</v>
      </c>
      <c r="R318" s="2" t="s">
        <v>543</v>
      </c>
      <c r="T318" s="2" t="s">
        <v>544</v>
      </c>
      <c r="U318" s="2" t="s">
        <v>157</v>
      </c>
      <c r="W318" s="2" t="s">
        <v>545</v>
      </c>
    </row>
    <row r="319" spans="1:23" ht="20.399999999999999" x14ac:dyDescent="0.3">
      <c r="A319" s="2" t="s">
        <v>610</v>
      </c>
      <c r="B319" s="2" t="s">
        <v>615</v>
      </c>
      <c r="C319" s="2" t="s">
        <v>25</v>
      </c>
      <c r="D319" s="3" t="e">
        <f t="shared" si="16"/>
        <v>#DIV/0!</v>
      </c>
      <c r="E319" s="4">
        <f t="shared" si="17"/>
        <v>0</v>
      </c>
      <c r="F319" s="4">
        <f t="shared" si="18"/>
        <v>0</v>
      </c>
      <c r="G319" s="4">
        <f t="shared" si="19"/>
        <v>0</v>
      </c>
      <c r="H319" s="2" t="s">
        <v>26</v>
      </c>
      <c r="I319" s="2" t="s">
        <v>27</v>
      </c>
      <c r="J319" s="4">
        <v>0</v>
      </c>
      <c r="K319" s="4">
        <v>0</v>
      </c>
      <c r="L319" s="4">
        <v>3</v>
      </c>
      <c r="M319" s="2" t="s">
        <v>612</v>
      </c>
      <c r="N319" s="2" t="s">
        <v>29</v>
      </c>
      <c r="O319" s="2" t="s">
        <v>554</v>
      </c>
      <c r="P319" s="2" t="s">
        <v>63</v>
      </c>
      <c r="Q319" s="2" t="s">
        <v>613</v>
      </c>
      <c r="R319" s="2" t="s">
        <v>582</v>
      </c>
      <c r="T319" s="2" t="s">
        <v>556</v>
      </c>
      <c r="U319" s="2" t="s">
        <v>616</v>
      </c>
      <c r="W319" s="2" t="s">
        <v>557</v>
      </c>
    </row>
    <row r="320" spans="1:23" ht="20.399999999999999" x14ac:dyDescent="0.3">
      <c r="A320" s="2" t="s">
        <v>23</v>
      </c>
      <c r="B320" s="2" t="s">
        <v>154</v>
      </c>
      <c r="C320" s="2" t="s">
        <v>25</v>
      </c>
      <c r="D320" s="3" t="e">
        <f t="shared" si="16"/>
        <v>#DIV/0!</v>
      </c>
      <c r="E320" s="4">
        <f t="shared" si="17"/>
        <v>0</v>
      </c>
      <c r="F320" s="4">
        <f t="shared" si="18"/>
        <v>0</v>
      </c>
      <c r="G320" s="4">
        <f t="shared" si="19"/>
        <v>0</v>
      </c>
      <c r="H320" s="2" t="s">
        <v>26</v>
      </c>
      <c r="I320" s="2" t="s">
        <v>27</v>
      </c>
      <c r="J320" s="4">
        <v>0</v>
      </c>
      <c r="K320" s="4">
        <v>0</v>
      </c>
      <c r="L320" s="4">
        <v>2</v>
      </c>
      <c r="M320" s="2" t="s">
        <v>155</v>
      </c>
      <c r="N320" s="2" t="s">
        <v>29</v>
      </c>
      <c r="O320" s="2" t="s">
        <v>650</v>
      </c>
      <c r="P320" s="2" t="s">
        <v>651</v>
      </c>
      <c r="Q320" s="2" t="s">
        <v>156</v>
      </c>
      <c r="R320" s="2" t="s">
        <v>659</v>
      </c>
      <c r="T320" s="2" t="s">
        <v>660</v>
      </c>
      <c r="U320" s="2" t="s">
        <v>157</v>
      </c>
      <c r="W320" s="2" t="s">
        <v>661</v>
      </c>
    </row>
  </sheetData>
  <autoFilter ref="A1:W1" xr:uid="{00000000-0001-0000-0000-000000000000}">
    <sortState xmlns:xlrd2="http://schemas.microsoft.com/office/spreadsheetml/2017/richdata2" ref="A2:W320">
      <sortCondition descending="1" ref="K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WebDataRocks Reporting Tool</vt:lpstr>
    </vt:vector>
  </TitlesOfParts>
  <Company>Amazon.com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EC2</dc:creator>
  <cp:lastModifiedBy>Qayumov Muhammad_Amin</cp:lastModifiedBy>
  <dcterms:created xsi:type="dcterms:W3CDTF">2010-12-22T15:19:38Z</dcterms:created>
  <dcterms:modified xsi:type="dcterms:W3CDTF">2026-02-06T11:03:44Z</dcterms:modified>
</cp:coreProperties>
</file>